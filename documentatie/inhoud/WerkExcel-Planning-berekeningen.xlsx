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372F7BE9-BACA-44D6-8CAA-0A1142EA988B}" xr6:coauthVersionLast="47" xr6:coauthVersionMax="47" xr10:uidLastSave="{00000000-0000-0000-0000-000000000000}"/>
  <bookViews>
    <workbookView xWindow="-108" yWindow="-108" windowWidth="23256" windowHeight="12456" activeTab="1"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4" i="13" l="1"/>
  <c r="I45" i="13"/>
  <c r="I46" i="13"/>
  <c r="I47" i="13"/>
  <c r="I48" i="13"/>
  <c r="I49" i="13"/>
  <c r="I50" i="13"/>
  <c r="I51" i="13"/>
  <c r="I52" i="13"/>
  <c r="I53" i="13"/>
  <c r="I54" i="13"/>
  <c r="I43" i="13"/>
  <c r="G54" i="13"/>
  <c r="H54" i="13" s="1"/>
  <c r="G53" i="13"/>
  <c r="G52" i="13"/>
  <c r="H52" i="13" s="1"/>
  <c r="G51" i="13"/>
  <c r="G50" i="13"/>
  <c r="G49" i="13"/>
  <c r="H49" i="13" s="1"/>
  <c r="G47" i="13"/>
  <c r="H47" i="13" s="1"/>
  <c r="H51" i="13"/>
  <c r="H53" i="13"/>
  <c r="H50" i="13"/>
  <c r="H48" i="13"/>
  <c r="H46" i="13"/>
  <c r="G46" i="13"/>
  <c r="H45" i="13"/>
  <c r="G45" i="13"/>
  <c r="H44" i="13"/>
  <c r="G44" i="13"/>
  <c r="H43" i="13"/>
  <c r="G43" i="13"/>
  <c r="E30" i="13"/>
  <c r="F30" i="13" s="1"/>
  <c r="G30" i="13" s="1"/>
  <c r="E25" i="13"/>
  <c r="F25" i="13" s="1"/>
  <c r="G25" i="13" s="1"/>
  <c r="E26" i="13"/>
  <c r="F26" i="13" s="1"/>
  <c r="G26" i="13" s="1"/>
  <c r="E27" i="13"/>
  <c r="F27" i="13" s="1"/>
  <c r="G27" i="13" s="1"/>
  <c r="E28" i="13"/>
  <c r="F28" i="13" s="1"/>
  <c r="G28" i="13" s="1"/>
  <c r="E29" i="13"/>
  <c r="E31" i="13"/>
  <c r="F31" i="13" s="1"/>
  <c r="G31" i="13" s="1"/>
  <c r="E32" i="13"/>
  <c r="F32" i="13" s="1"/>
  <c r="G32" i="13" s="1"/>
  <c r="E33" i="13"/>
  <c r="E34" i="13"/>
  <c r="E35" i="13"/>
  <c r="F35" i="13" s="1"/>
  <c r="G35" i="13" s="1"/>
  <c r="E36" i="13"/>
  <c r="F36" i="13" s="1"/>
  <c r="G36" i="13" s="1"/>
  <c r="E37" i="13"/>
  <c r="F37" i="13" s="1"/>
  <c r="G37" i="13" s="1"/>
  <c r="G23" i="13"/>
  <c r="G24" i="13"/>
  <c r="F24" i="13"/>
  <c r="F29" i="13"/>
  <c r="G29" i="13" s="1"/>
  <c r="F33" i="13"/>
  <c r="G33" i="13" s="1"/>
  <c r="F34" i="13"/>
  <c r="G34" i="13" s="1"/>
  <c r="F23" i="13"/>
  <c r="E24" i="13"/>
  <c r="E23" i="13"/>
  <c r="E38" i="1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<sst xmlns="http://schemas.openxmlformats.org/spreadsheetml/2006/main" count="117" uniqueCount="103">
  <si>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</si>
  <si>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</si>
  <si>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</si>
  <si>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</si>
  <si>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</si>
  <si>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</si>
  <si>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</si>
  <si>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</si>
  <si>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</si>
  <si>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</si>
  <si>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</si>
  <si>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</si>
  <si>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</si>
  <si>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</si>
  <si>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</si>
  <si>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</si>
  <si>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</si>
  <si>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</si>
  <si>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</si>
  <si>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</si>
  <si>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</si>
  <si>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</si>
  <si>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</si>
  <si>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</si>
  <si>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</si>
  <si>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</si>
  <si>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</si>
  <si>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</si>
  <si>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</si>
  <si>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</si>
  <si>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</si>
  <si>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</si>
  <si>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</si>
  <si>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</si>
  <si>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</si>
  <si>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</si>
  <si>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</si>
  <si>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</si>
  <si>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</si>
  <si>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</si>
  <si>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</si>
  <si>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</si>
  <si>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</si>
  <si>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</si>
  <si>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</si>
  <si>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</si>
  <si>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</si>
  <si>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</si>
  <si>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</si>
  <si>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</si>
  <si>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</si>
  <si>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</si>
  <si>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</si>
  <si>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</si>
  <si>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</si>
  <si>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</si>
  <si>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</si>
  <si>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</si>
  <si>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</si>
  <si>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</si>
  <si>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</si>
  <si>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</si>
  <si>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</si>
  <si>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</si>
  <si>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</si>
  <si>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</si>
  <si>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</si>
  <si>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</si>
  <si>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</si>
  <si>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</si>
  <si>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</si>
  <si>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</si>
  <si>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</si>
  <si>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</si>
  <si>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</si>
  <si>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</si>
  <si>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</si>
  <si>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</si>
  <si>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</si>
  <si>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</si>
  <si>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</si>
  <si>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</si>
  <si>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</si>
  <si>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</si>
  <si>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</si>
  <si>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</si>
  <si>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</si>
  <si>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</si>
  <si>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</si>
  <si>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</si>
  <si>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</si>
  <si>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</si>
  <si>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</si>
  <si>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</si>
  <si>
    <t>niet accuraat</t>
  </si>
  <si>
    <t>ja</t>
  </si>
  <si>
    <t>begin</t>
  </si>
  <si>
    <t>end</t>
  </si>
  <si>
    <t>end target</t>
  </si>
  <si>
    <t>steps</t>
  </si>
  <si>
    <t>mm/step</t>
  </si>
  <si>
    <t>step/mm</t>
  </si>
  <si>
    <t>meetlint vanaf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</si>
</sst>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
      <left/>
      <right/>
      <top/>
      <bottom style="thin">
        <color indexed="64"/>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0" fontId="0" fillId="0" borderId="0" xfId="0" applyBorder="1"/>
    <xf numFmtId="0" fontId="0" fillId="0" borderId="0" xfId="0" applyFill="1" applyBorder="1"/>
    <xf numFmtId="0" fontId="0" fillId="0" borderId="21" xfId="0" applyBorder="1"/>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166" fontId="8" fillId="0" borderId="3" xfId="9" applyNumberFormat="1">
      <alignment horizontal="center" vertical="center"/>
    </xf>
    <xf numFmtId="0" fontId="9" fillId="48" borderId="10" xfId="0" applyFont="1" applyFill="1" applyBorder="1" applyAlignment="1">
      <alignment horizontal="center" vertical="center"/>
    </xf>
    <xf numFmtId="0" fontId="0" fillId="48" borderId="10" xfId="0" applyFill="1" applyBorder="1" applyAlignment="1">
      <alignment horizontal="center"/>
    </xf>
    <xf numFmtId="0" fontId="0" fillId="0" borderId="0" xfId="0" applyAlignment="1">
      <alignment horizontal="center" wrapText="1"/>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showRuler="0" zoomScale="85" zoomScaleNormal="85" zoomScalePageLayoutView="70" workbookViewId="0">
      <pane ySplit="6" topLeftCell="A20" activePane="bottomLeft" state="frozen"/>
      <selection pane="bottomLeft" activeCell="B33" sqref="B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4">
        <f>DATE(2025, 9, 1)</f>
        <v>45901</v>
      </c>
      <c r="E3" s="114"/>
      <c r="P3" s="88"/>
      <c r="AF3" s="88"/>
      <c r="AR3" s="88"/>
      <c r="AY3" s="87"/>
      <c r="BM3" s="88"/>
      <c r="BN3" s="87"/>
      <c r="BO3" s="115" t="s">
        <v>53</v>
      </c>
      <c r="BP3" s="115"/>
      <c r="BQ3" s="115"/>
      <c r="BR3" s="115"/>
      <c r="BS3" s="115"/>
      <c r="BT3" s="115"/>
      <c r="BU3" s="115"/>
      <c r="BV3" s="115"/>
      <c r="BW3" s="115"/>
      <c r="BX3" s="115"/>
      <c r="BY3" s="115"/>
      <c r="CA3" s="88"/>
      <c r="CG3" s="87"/>
      <c r="CO3" s="88"/>
      <c r="DC3" s="88"/>
      <c r="DP3" s="116" t="s">
        <v>56</v>
      </c>
      <c r="DQ3" s="116"/>
      <c r="DR3" s="116"/>
      <c r="DS3" s="116"/>
      <c r="DT3" s="116"/>
      <c r="DU3" s="116"/>
      <c r="DV3" s="116"/>
      <c r="DW3" s="116"/>
      <c r="DX3" s="116"/>
      <c r="DY3" s="116"/>
      <c r="DZ3" s="116"/>
      <c r="EA3" s="116"/>
      <c r="EB3" s="116"/>
      <c r="EC3" s="116"/>
      <c r="EZ3" s="88"/>
      <c r="FC3" s="87"/>
      <c r="FF3" s="87"/>
      <c r="GC3" s="92">
        <v>1</v>
      </c>
    </row>
    <row r="4" spans="1:185" ht="18" customHeight="1" x14ac:dyDescent="0.3">
      <c r="C4" s="70"/>
      <c r="D4" s="6">
        <v>1</v>
      </c>
      <c r="H4" s="111">
        <f>H5</f>
        <v>45901</v>
      </c>
      <c r="I4" s="112"/>
      <c r="J4" s="112"/>
      <c r="K4" s="112"/>
      <c r="L4" s="112"/>
      <c r="M4" s="112"/>
      <c r="N4" s="113"/>
      <c r="O4" s="111">
        <f>O5</f>
        <v>45908</v>
      </c>
      <c r="P4" s="112"/>
      <c r="Q4" s="112"/>
      <c r="R4" s="112"/>
      <c r="S4" s="112"/>
      <c r="T4" s="112"/>
      <c r="U4" s="113"/>
      <c r="V4" s="111">
        <f>V5</f>
        <v>45915</v>
      </c>
      <c r="W4" s="112"/>
      <c r="X4" s="112"/>
      <c r="Y4" s="112"/>
      <c r="Z4" s="112"/>
      <c r="AA4" s="112"/>
      <c r="AB4" s="113"/>
      <c r="AC4" s="111">
        <f>AC5</f>
        <v>45922</v>
      </c>
      <c r="AD4" s="112"/>
      <c r="AE4" s="112"/>
      <c r="AF4" s="112"/>
      <c r="AG4" s="112"/>
      <c r="AH4" s="112"/>
      <c r="AI4" s="113"/>
      <c r="AJ4" s="111">
        <f>AJ5</f>
        <v>45929</v>
      </c>
      <c r="AK4" s="112"/>
      <c r="AL4" s="112"/>
      <c r="AM4" s="112"/>
      <c r="AN4" s="112"/>
      <c r="AO4" s="112"/>
      <c r="AP4" s="113"/>
      <c r="AQ4" s="111">
        <f>AQ5</f>
        <v>45936</v>
      </c>
      <c r="AR4" s="112"/>
      <c r="AS4" s="112"/>
      <c r="AT4" s="112"/>
      <c r="AU4" s="112"/>
      <c r="AV4" s="112"/>
      <c r="AW4" s="113"/>
      <c r="AX4" s="111">
        <f>AX5</f>
        <v>45943</v>
      </c>
      <c r="AY4" s="112"/>
      <c r="AZ4" s="112"/>
      <c r="BA4" s="112"/>
      <c r="BB4" s="112"/>
      <c r="BC4" s="112"/>
      <c r="BD4" s="113"/>
      <c r="BE4" s="111">
        <f>BE5</f>
        <v>45950</v>
      </c>
      <c r="BF4" s="112"/>
      <c r="BG4" s="112"/>
      <c r="BH4" s="112"/>
      <c r="BI4" s="112"/>
      <c r="BJ4" s="112"/>
      <c r="BK4" s="113"/>
      <c r="BL4" s="111">
        <f>BL5</f>
        <v>45957</v>
      </c>
      <c r="BM4" s="112"/>
      <c r="BN4" s="112"/>
      <c r="BO4" s="112"/>
      <c r="BP4" s="112"/>
      <c r="BQ4" s="112"/>
      <c r="BR4" s="113"/>
      <c r="BS4" s="111">
        <f>BS5</f>
        <v>45964</v>
      </c>
      <c r="BT4" s="112"/>
      <c r="BU4" s="112"/>
      <c r="BV4" s="112"/>
      <c r="BW4" s="112"/>
      <c r="BX4" s="112"/>
      <c r="BY4" s="113"/>
      <c r="BZ4" s="111">
        <f>BZ5</f>
        <v>45971</v>
      </c>
      <c r="CA4" s="112"/>
      <c r="CB4" s="112"/>
      <c r="CC4" s="112"/>
      <c r="CD4" s="112"/>
      <c r="CE4" s="112"/>
      <c r="CF4" s="113"/>
      <c r="CG4" s="111">
        <f>CG5</f>
        <v>45978</v>
      </c>
      <c r="CH4" s="112"/>
      <c r="CI4" s="112"/>
      <c r="CJ4" s="112"/>
      <c r="CK4" s="112"/>
      <c r="CL4" s="112"/>
      <c r="CM4" s="113"/>
      <c r="CN4" s="111">
        <f>CN5</f>
        <v>45985</v>
      </c>
      <c r="CO4" s="112"/>
      <c r="CP4" s="112"/>
      <c r="CQ4" s="112"/>
      <c r="CR4" s="112"/>
      <c r="CS4" s="112"/>
      <c r="CT4" s="113"/>
      <c r="CU4" s="111">
        <f>CU5</f>
        <v>45992</v>
      </c>
      <c r="CV4" s="112"/>
      <c r="CW4" s="112"/>
      <c r="CX4" s="112"/>
      <c r="CY4" s="112"/>
      <c r="CZ4" s="112"/>
      <c r="DA4" s="113"/>
      <c r="DB4" s="111">
        <f t="shared" ref="DB4" si="0">DB5</f>
        <v>45999</v>
      </c>
      <c r="DC4" s="112"/>
      <c r="DD4" s="112"/>
      <c r="DE4" s="112"/>
      <c r="DF4" s="112"/>
      <c r="DG4" s="112"/>
      <c r="DH4" s="113"/>
      <c r="DI4" s="111">
        <f t="shared" ref="DI4" si="1">DI5</f>
        <v>46006</v>
      </c>
      <c r="DJ4" s="112"/>
      <c r="DK4" s="112"/>
      <c r="DL4" s="112"/>
      <c r="DM4" s="112"/>
      <c r="DN4" s="112"/>
      <c r="DO4" s="113"/>
      <c r="DP4" s="111">
        <f t="shared" ref="DP4" si="2">DP5</f>
        <v>46013</v>
      </c>
      <c r="DQ4" s="112"/>
      <c r="DR4" s="112"/>
      <c r="DS4" s="112"/>
      <c r="DT4" s="112"/>
      <c r="DU4" s="112"/>
      <c r="DV4" s="113"/>
      <c r="DW4" s="111">
        <f t="shared" ref="DW4" si="3">DW5</f>
        <v>46020</v>
      </c>
      <c r="DX4" s="112"/>
      <c r="DY4" s="112"/>
      <c r="DZ4" s="112"/>
      <c r="EA4" s="112"/>
      <c r="EB4" s="112"/>
      <c r="EC4" s="113"/>
      <c r="ED4" s="111">
        <f t="shared" ref="ED4" si="4">ED5</f>
        <v>46027</v>
      </c>
      <c r="EE4" s="112"/>
      <c r="EF4" s="112"/>
      <c r="EG4" s="112"/>
      <c r="EH4" s="112"/>
      <c r="EI4" s="112"/>
      <c r="EJ4" s="113"/>
      <c r="EK4" s="111">
        <f t="shared" ref="EK4" si="5">EK5</f>
        <v>46034</v>
      </c>
      <c r="EL4" s="112"/>
      <c r="EM4" s="112"/>
      <c r="EN4" s="112"/>
      <c r="EO4" s="112"/>
      <c r="EP4" s="112"/>
      <c r="EQ4" s="113"/>
      <c r="ER4" s="111">
        <f t="shared" ref="ER4" si="6">ER5</f>
        <v>46041</v>
      </c>
      <c r="ES4" s="112"/>
      <c r="ET4" s="112"/>
      <c r="EU4" s="112"/>
      <c r="EV4" s="112"/>
      <c r="EW4" s="112"/>
      <c r="EX4" s="113"/>
      <c r="EY4" s="111">
        <f t="shared" ref="EY4" si="7">EY5</f>
        <v>46048</v>
      </c>
      <c r="EZ4" s="112"/>
      <c r="FA4" s="112"/>
      <c r="FB4" s="112"/>
      <c r="FC4" s="112"/>
      <c r="FD4" s="112"/>
      <c r="FE4" s="113"/>
      <c r="FF4" s="111">
        <f t="shared" ref="FF4" si="8">FF5</f>
        <v>46055</v>
      </c>
      <c r="FG4" s="112"/>
      <c r="FH4" s="112"/>
      <c r="FI4" s="112"/>
      <c r="FJ4" s="112"/>
      <c r="FK4" s="112"/>
      <c r="FL4" s="113"/>
      <c r="FM4" s="111">
        <f t="shared" ref="FM4" si="9">FM5</f>
        <v>46062</v>
      </c>
      <c r="FN4" s="112"/>
      <c r="FO4" s="112"/>
      <c r="FP4" s="112"/>
      <c r="FQ4" s="112"/>
      <c r="FR4" s="112"/>
      <c r="FS4" s="113"/>
      <c r="FT4" s="111">
        <f t="shared" ref="FT4" si="10">FT5</f>
        <v>46069</v>
      </c>
      <c r="FU4" s="112"/>
      <c r="FV4" s="112"/>
      <c r="FW4" s="112"/>
      <c r="FX4" s="112"/>
      <c r="FY4" s="112"/>
      <c r="FZ4" s="113"/>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80</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75</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76</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0.1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0</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49" t="s">
        <v>77</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84" t="s">
        <v>79</v>
      </c>
      <c r="C47" s="85"/>
      <c r="D47" s="86"/>
      <c r="E47" s="8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7" t="s">
        <v>78</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30" customHeight="1" thickBot="1" x14ac:dyDescent="0.35">
      <c r="A59" s="41"/>
      <c r="B59" s="24" t="s">
        <v>1</v>
      </c>
      <c r="C59" s="25"/>
      <c r="D59" s="68"/>
      <c r="E59" s="69"/>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4"/>
      <c r="FF59" s="98"/>
      <c r="FG59" s="96"/>
      <c r="FH59" s="28"/>
      <c r="FI59" s="28"/>
      <c r="FJ59" s="28"/>
      <c r="FK59" s="28"/>
      <c r="FL59" s="28"/>
      <c r="FM59" s="28"/>
      <c r="FN59" s="28"/>
      <c r="FO59" s="28"/>
      <c r="FP59" s="28"/>
      <c r="FQ59" s="28"/>
      <c r="FR59" s="28"/>
      <c r="FS59" s="28"/>
      <c r="FT59" s="28"/>
      <c r="FU59" s="28"/>
      <c r="FV59" s="28"/>
      <c r="FW59" s="28"/>
      <c r="FX59" s="28"/>
      <c r="FY59" s="28"/>
      <c r="FZ59" s="28"/>
      <c r="GC59" s="92">
        <v>1</v>
      </c>
    </row>
    <row r="60" spans="1:185" ht="30" customHeight="1" x14ac:dyDescent="0.3">
      <c r="F60" s="5"/>
      <c r="FG60" s="99"/>
      <c r="GC60" s="92">
        <v>1</v>
      </c>
    </row>
    <row r="61" spans="1:185" ht="30" customHeight="1" x14ac:dyDescent="0.3">
      <c r="E61" s="42"/>
      <c r="FG61" s="99"/>
      <c r="GC61" s="92">
        <v>1</v>
      </c>
    </row>
    <row r="62" spans="1:185" ht="30" customHeight="1" x14ac:dyDescent="0.3">
      <c r="GC62" s="92">
        <v>1</v>
      </c>
    </row>
    <row r="63" spans="1:185" ht="30" customHeight="1" x14ac:dyDescent="0.3">
      <c r="A63" s="92">
        <v>1</v>
      </c>
      <c r="B63" s="92">
        <v>1</v>
      </c>
      <c r="C63" s="92">
        <v>1</v>
      </c>
      <c r="D63" s="92">
        <v>1</v>
      </c>
      <c r="E63" s="92">
        <v>1</v>
      </c>
      <c r="F63" s="92">
        <v>1</v>
      </c>
      <c r="G63" s="92">
        <v>1</v>
      </c>
      <c r="H63" s="92">
        <v>1</v>
      </c>
      <c r="I63" s="92">
        <v>1</v>
      </c>
      <c r="J63" s="92">
        <v>1</v>
      </c>
      <c r="K63" s="92">
        <v>1</v>
      </c>
      <c r="L63" s="92">
        <v>1</v>
      </c>
      <c r="M63" s="92">
        <v>1</v>
      </c>
      <c r="N63" s="92">
        <v>1</v>
      </c>
      <c r="O63" s="92">
        <v>1</v>
      </c>
      <c r="P63" s="92">
        <v>1</v>
      </c>
      <c r="Q63" s="92">
        <v>1</v>
      </c>
      <c r="R63" s="92">
        <v>1</v>
      </c>
      <c r="S63" s="92">
        <v>1</v>
      </c>
      <c r="T63" s="92">
        <v>1</v>
      </c>
      <c r="U63" s="92">
        <v>1</v>
      </c>
      <c r="V63" s="92">
        <v>1</v>
      </c>
      <c r="W63" s="92">
        <v>1</v>
      </c>
      <c r="X63" s="92">
        <v>1</v>
      </c>
      <c r="Y63" s="92">
        <v>1</v>
      </c>
      <c r="Z63" s="92">
        <v>1</v>
      </c>
      <c r="AA63" s="92">
        <v>1</v>
      </c>
      <c r="AB63" s="92">
        <v>1</v>
      </c>
      <c r="AC63" s="92">
        <v>1</v>
      </c>
      <c r="AD63" s="92">
        <v>1</v>
      </c>
      <c r="AE63" s="92">
        <v>1</v>
      </c>
      <c r="AF63" s="92">
        <v>1</v>
      </c>
      <c r="AG63" s="92">
        <v>1</v>
      </c>
      <c r="AH63" s="92">
        <v>1</v>
      </c>
      <c r="AI63" s="92">
        <v>1</v>
      </c>
      <c r="AJ63" s="92">
        <v>1</v>
      </c>
      <c r="AK63" s="92">
        <v>1</v>
      </c>
      <c r="AL63" s="92">
        <v>1</v>
      </c>
      <c r="AM63" s="92">
        <v>1</v>
      </c>
      <c r="AN63" s="92">
        <v>1</v>
      </c>
      <c r="AO63" s="92">
        <v>1</v>
      </c>
      <c r="AP63" s="92">
        <v>1</v>
      </c>
      <c r="AQ63" s="92">
        <v>1</v>
      </c>
      <c r="AR63" s="92">
        <v>1</v>
      </c>
      <c r="AS63" s="92">
        <v>1</v>
      </c>
      <c r="AT63" s="92">
        <v>1</v>
      </c>
      <c r="AU63" s="92">
        <v>1</v>
      </c>
      <c r="AV63" s="92">
        <v>1</v>
      </c>
      <c r="AW63" s="92">
        <v>1</v>
      </c>
      <c r="AX63" s="92">
        <v>1</v>
      </c>
      <c r="AY63" s="92">
        <v>1</v>
      </c>
      <c r="AZ63" s="92">
        <v>1</v>
      </c>
      <c r="BA63" s="92">
        <v>1</v>
      </c>
      <c r="BB63" s="92">
        <v>1</v>
      </c>
      <c r="BC63" s="92">
        <v>1</v>
      </c>
      <c r="BD63" s="92">
        <v>1</v>
      </c>
      <c r="BE63" s="92">
        <v>1</v>
      </c>
      <c r="BF63" s="92">
        <v>1</v>
      </c>
      <c r="BG63" s="92">
        <v>1</v>
      </c>
      <c r="BH63" s="92">
        <v>1</v>
      </c>
      <c r="BI63" s="92">
        <v>1</v>
      </c>
      <c r="BJ63" s="92">
        <v>1</v>
      </c>
      <c r="BK63" s="92">
        <v>1</v>
      </c>
      <c r="BL63" s="92">
        <v>1</v>
      </c>
      <c r="BM63" s="92">
        <v>1</v>
      </c>
      <c r="BN63" s="92">
        <v>1</v>
      </c>
      <c r="BO63" s="92">
        <v>1</v>
      </c>
      <c r="BP63" s="92">
        <v>1</v>
      </c>
      <c r="BQ63" s="92">
        <v>1</v>
      </c>
      <c r="BR63" s="92">
        <v>1</v>
      </c>
      <c r="BS63" s="92">
        <v>1</v>
      </c>
      <c r="BT63" s="92">
        <v>1</v>
      </c>
      <c r="BU63" s="92">
        <v>1</v>
      </c>
      <c r="BV63" s="92">
        <v>1</v>
      </c>
      <c r="BW63" s="92">
        <v>1</v>
      </c>
      <c r="BX63" s="92">
        <v>1</v>
      </c>
      <c r="BY63" s="92">
        <v>1</v>
      </c>
      <c r="BZ63" s="92">
        <v>1</v>
      </c>
      <c r="CA63" s="92">
        <v>1</v>
      </c>
      <c r="CB63" s="92">
        <v>1</v>
      </c>
      <c r="CC63" s="92">
        <v>1</v>
      </c>
      <c r="CD63" s="92">
        <v>1</v>
      </c>
      <c r="CE63" s="92">
        <v>1</v>
      </c>
      <c r="CF63" s="92">
        <v>1</v>
      </c>
      <c r="CG63" s="92">
        <v>1</v>
      </c>
      <c r="CH63" s="92">
        <v>1</v>
      </c>
      <c r="CI63" s="92">
        <v>1</v>
      </c>
      <c r="CJ63" s="92">
        <v>1</v>
      </c>
      <c r="CK63" s="92">
        <v>1</v>
      </c>
      <c r="CL63" s="92">
        <v>1</v>
      </c>
      <c r="CM63" s="92">
        <v>1</v>
      </c>
      <c r="CN63" s="92">
        <v>1</v>
      </c>
      <c r="CO63" s="92">
        <v>1</v>
      </c>
      <c r="CP63" s="92">
        <v>1</v>
      </c>
      <c r="CQ63" s="92">
        <v>1</v>
      </c>
      <c r="CR63" s="92">
        <v>1</v>
      </c>
      <c r="CS63" s="92">
        <v>1</v>
      </c>
      <c r="CT63" s="92">
        <v>1</v>
      </c>
      <c r="CU63" s="92">
        <v>1</v>
      </c>
      <c r="CV63" s="92">
        <v>1</v>
      </c>
      <c r="CW63" s="92">
        <v>1</v>
      </c>
      <c r="CX63" s="92">
        <v>1</v>
      </c>
      <c r="CY63" s="92">
        <v>1</v>
      </c>
      <c r="CZ63" s="92">
        <v>1</v>
      </c>
      <c r="DA63" s="92">
        <v>1</v>
      </c>
      <c r="DB63" s="92">
        <v>1</v>
      </c>
      <c r="DC63" s="92">
        <v>1</v>
      </c>
      <c r="DD63" s="92">
        <v>1</v>
      </c>
      <c r="DE63" s="92">
        <v>1</v>
      </c>
      <c r="DF63" s="92">
        <v>1</v>
      </c>
      <c r="DG63" s="92">
        <v>1</v>
      </c>
      <c r="DH63" s="92">
        <v>1</v>
      </c>
      <c r="DI63" s="92">
        <v>1</v>
      </c>
      <c r="DJ63" s="92">
        <v>1</v>
      </c>
      <c r="DK63" s="92">
        <v>1</v>
      </c>
      <c r="DL63" s="92">
        <v>1</v>
      </c>
      <c r="DM63" s="92">
        <v>1</v>
      </c>
      <c r="DN63" s="92">
        <v>1</v>
      </c>
      <c r="DO63" s="92">
        <v>1</v>
      </c>
      <c r="DP63" s="92">
        <v>1</v>
      </c>
      <c r="DQ63" s="92">
        <v>1</v>
      </c>
      <c r="DR63" s="92">
        <v>1</v>
      </c>
      <c r="DS63" s="92">
        <v>1</v>
      </c>
      <c r="DT63" s="92">
        <v>1</v>
      </c>
      <c r="DU63" s="92">
        <v>1</v>
      </c>
      <c r="DV63" s="92">
        <v>1</v>
      </c>
      <c r="DW63" s="92">
        <v>1</v>
      </c>
      <c r="DX63" s="92">
        <v>1</v>
      </c>
      <c r="DY63" s="92">
        <v>1</v>
      </c>
      <c r="DZ63" s="92">
        <v>1</v>
      </c>
      <c r="EA63" s="92">
        <v>1</v>
      </c>
      <c r="EB63" s="92">
        <v>1</v>
      </c>
      <c r="EC63" s="92">
        <v>1</v>
      </c>
      <c r="ED63" s="92">
        <v>1</v>
      </c>
      <c r="EE63" s="92">
        <v>1</v>
      </c>
      <c r="EF63" s="92">
        <v>1</v>
      </c>
      <c r="EG63" s="92">
        <v>1</v>
      </c>
      <c r="EH63" s="92">
        <v>1</v>
      </c>
      <c r="EI63" s="92">
        <v>1</v>
      </c>
      <c r="EJ63" s="92">
        <v>1</v>
      </c>
      <c r="EK63" s="92">
        <v>1</v>
      </c>
      <c r="EL63" s="92">
        <v>1</v>
      </c>
      <c r="EM63" s="92">
        <v>1</v>
      </c>
      <c r="EN63" s="92">
        <v>1</v>
      </c>
      <c r="EO63" s="92">
        <v>1</v>
      </c>
      <c r="EP63" s="92">
        <v>1</v>
      </c>
      <c r="EQ63" s="92">
        <v>1</v>
      </c>
      <c r="ER63" s="92">
        <v>1</v>
      </c>
      <c r="ES63" s="92">
        <v>1</v>
      </c>
      <c r="ET63" s="92">
        <v>1</v>
      </c>
      <c r="EU63" s="92">
        <v>1</v>
      </c>
      <c r="EV63" s="92">
        <v>1</v>
      </c>
      <c r="EW63" s="92">
        <v>1</v>
      </c>
      <c r="EX63" s="92">
        <v>1</v>
      </c>
      <c r="EY63" s="92">
        <v>1</v>
      </c>
      <c r="EZ63" s="92">
        <v>1</v>
      </c>
      <c r="FA63" s="92">
        <v>1</v>
      </c>
      <c r="FB63" s="92">
        <v>1</v>
      </c>
      <c r="FC63" s="92">
        <v>1</v>
      </c>
      <c r="FD63" s="92">
        <v>1</v>
      </c>
      <c r="FE63" s="92">
        <v>1</v>
      </c>
      <c r="FF63" s="92">
        <v>1</v>
      </c>
      <c r="FG63" s="92">
        <v>1</v>
      </c>
      <c r="FH63" s="92">
        <v>1</v>
      </c>
      <c r="FI63" s="92">
        <v>1</v>
      </c>
      <c r="FJ63" s="92">
        <v>1</v>
      </c>
      <c r="FK63" s="92">
        <v>1</v>
      </c>
      <c r="FL63" s="92">
        <v>1</v>
      </c>
      <c r="FM63" s="92">
        <v>1</v>
      </c>
      <c r="FN63" s="92">
        <v>1</v>
      </c>
      <c r="FO63" s="92">
        <v>1</v>
      </c>
      <c r="FP63" s="92">
        <v>1</v>
      </c>
      <c r="FQ63" s="92">
        <v>1</v>
      </c>
      <c r="FR63" s="92">
        <v>1</v>
      </c>
      <c r="FS63" s="92">
        <v>1</v>
      </c>
      <c r="FT63" s="92">
        <v>1</v>
      </c>
      <c r="FU63" s="92">
        <v>1</v>
      </c>
      <c r="FV63" s="92">
        <v>1</v>
      </c>
      <c r="FW63" s="92">
        <v>1</v>
      </c>
      <c r="FX63" s="92">
        <v>1</v>
      </c>
      <c r="FY63" s="92">
        <v>1</v>
      </c>
      <c r="FZ63" s="92">
        <v>1</v>
      </c>
      <c r="GA63" s="92">
        <v>1</v>
      </c>
      <c r="GB63" s="92">
        <v>1</v>
      </c>
      <c r="GC63" s="92">
        <v>1</v>
      </c>
    </row>
    <row r="67" spans="2:5" ht="30" customHeight="1" x14ac:dyDescent="0.3">
      <c r="D67" s="101"/>
    </row>
    <row r="68" spans="2:5" ht="30" customHeight="1" x14ac:dyDescent="0.3">
      <c r="B68" t="s">
        <v>41</v>
      </c>
    </row>
    <row r="69" spans="2:5" ht="30" customHeight="1" x14ac:dyDescent="0.3">
      <c r="B69" t="s">
        <v>42</v>
      </c>
      <c r="D69" s="102"/>
      <c r="E69" s="103"/>
    </row>
    <row r="70" spans="2:5" ht="30" customHeight="1" x14ac:dyDescent="0.3">
      <c r="B70" t="s">
        <v>43</v>
      </c>
      <c r="E70" s="10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 ref="EK4:EQ4"/>
    <mergeCell ref="ER4:EX4"/>
    <mergeCell ref="D3:E3"/>
    <mergeCell ref="H4:N4"/>
    <mergeCell ref="O4:U4"/>
    <mergeCell ref="V4:AB4"/>
    <mergeCell ref="AC4:AI4"/>
    <mergeCell ref="AJ4:AP4"/>
    <mergeCell ref="AQ4:AW4"/>
    <mergeCell ref="AX4:BD4"/>
    <mergeCell ref="BE4:BK4"/>
    <mergeCell ref="BL4:BR4"/>
  </mergeCells>
  <phoneticPr fontId="33"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5">
      <formula>AND(TODAY()&gt;=DO$5,TODAY()&lt;GA$5)</formula>
    </cfRule>
    <cfRule type="expression" dxfId="12" priority="237" stopIfTrue="1">
      <formula>AND(task_end&gt;=DO$5,task_start&lt;GA$5)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A5:Q54"/>
  <sheetViews>
    <sheetView tabSelected="1" topLeftCell="A38" zoomScale="115" zoomScaleNormal="115" workbookViewId="0">
      <selection activeCell="G57" sqref="G57"/>
    </sheetView>
  </sheetViews>
  <sheetFormatPr defaultRowHeight="14.4" x14ac:dyDescent="0.3"/>
  <cols>
    <col min="9" max="9" width="10.88671875" customWidth="1"/>
  </cols>
  <sheetData>
    <row r="5" spans="2:7" x14ac:dyDescent="0.3">
      <c r="B5" s="117" t="s">
        <v>33</v>
      </c>
      <c r="C5" s="117"/>
      <c r="D5" s="117"/>
      <c r="E5" s="117"/>
      <c r="F5" s="117"/>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81</v>
      </c>
      <c r="E20">
        <v>1415</v>
      </c>
      <c r="F20" t="s">
        <v>82</v>
      </c>
    </row>
    <row r="22" spans="2:9" x14ac:dyDescent="0.3">
      <c r="B22" t="s">
        <v>88</v>
      </c>
      <c r="C22" t="s">
        <v>83</v>
      </c>
      <c r="D22" t="s">
        <v>84</v>
      </c>
      <c r="E22" t="s">
        <v>85</v>
      </c>
      <c r="F22" t="s">
        <v>87</v>
      </c>
      <c r="G22" t="s">
        <v>86</v>
      </c>
      <c r="H22" t="s">
        <v>90</v>
      </c>
      <c r="I22" t="s">
        <v>92</v>
      </c>
    </row>
    <row r="23" spans="2:9" x14ac:dyDescent="0.3">
      <c r="B23">
        <v>1</v>
      </c>
      <c r="C23">
        <v>0</v>
      </c>
      <c r="D23">
        <v>-59760</v>
      </c>
      <c r="E23">
        <f>C23-D23</f>
        <v>59760</v>
      </c>
      <c r="F23">
        <f>IF(E23 &lt; 0, E23*-1, E23)</f>
        <v>59760</v>
      </c>
      <c r="G23">
        <f>$E$20/F23</f>
        <v>2.3678045515394913E-2</v>
      </c>
      <c r="I23" t="s">
        <v>93</v>
      </c>
    </row>
    <row r="24" spans="2:9" x14ac:dyDescent="0.3">
      <c r="B24">
        <v>2</v>
      </c>
      <c r="C24">
        <v>-59760</v>
      </c>
      <c r="D24">
        <v>1238</v>
      </c>
      <c r="E24">
        <f>C24-D24</f>
        <v>-60998</v>
      </c>
      <c r="F24">
        <f t="shared" ref="F24:F37" si="3">IF(E24 &lt; 0, E24*-1, E24)</f>
        <v>60998</v>
      </c>
      <c r="G24">
        <f>$E$20/F24</f>
        <v>2.3197481884651955E-2</v>
      </c>
      <c r="I24" t="s">
        <v>93</v>
      </c>
    </row>
    <row r="25" spans="2:9" x14ac:dyDescent="0.3">
      <c r="B25">
        <v>3</v>
      </c>
      <c r="C25">
        <v>1239</v>
      </c>
      <c r="D25">
        <v>-21564</v>
      </c>
      <c r="E25">
        <f t="shared" ref="E25:E37" si="4">C25-D25</f>
        <v>22803</v>
      </c>
      <c r="F25">
        <f t="shared" si="3"/>
        <v>22803</v>
      </c>
      <c r="G25">
        <f t="shared" ref="G25:G37" si="5">$E$20/F25</f>
        <v>6.205323860895496E-2</v>
      </c>
      <c r="H25" t="s">
        <v>89</v>
      </c>
      <c r="I25" t="s">
        <v>93</v>
      </c>
    </row>
    <row r="26" spans="2:9" x14ac:dyDescent="0.3">
      <c r="B26">
        <v>4</v>
      </c>
      <c r="C26">
        <v>-21565</v>
      </c>
      <c r="D26">
        <v>54607</v>
      </c>
      <c r="E26">
        <f t="shared" si="4"/>
        <v>-76172</v>
      </c>
      <c r="F26">
        <f t="shared" si="3"/>
        <v>76172</v>
      </c>
      <c r="G26">
        <f t="shared" si="5"/>
        <v>1.8576379772094732E-2</v>
      </c>
      <c r="H26" t="s">
        <v>91</v>
      </c>
      <c r="I26" t="s">
        <v>93</v>
      </c>
    </row>
    <row r="27" spans="2:9" x14ac:dyDescent="0.3">
      <c r="B27">
        <v>5</v>
      </c>
      <c r="C27">
        <v>0</v>
      </c>
      <c r="D27">
        <v>-76162</v>
      </c>
      <c r="E27">
        <f t="shared" si="4"/>
        <v>76162</v>
      </c>
      <c r="F27">
        <f t="shared" si="3"/>
        <v>76162</v>
      </c>
      <c r="G27">
        <f t="shared" si="5"/>
        <v>1.8578818833539037E-2</v>
      </c>
      <c r="H27" t="s">
        <v>91</v>
      </c>
      <c r="I27" t="s">
        <v>93</v>
      </c>
    </row>
    <row r="28" spans="2:9" x14ac:dyDescent="0.3">
      <c r="B28">
        <v>6</v>
      </c>
      <c r="C28">
        <v>0</v>
      </c>
      <c r="D28">
        <v>76158</v>
      </c>
      <c r="E28">
        <f t="shared" si="4"/>
        <v>-76158</v>
      </c>
      <c r="F28">
        <f t="shared" si="3"/>
        <v>76158</v>
      </c>
      <c r="G28">
        <f t="shared" si="5"/>
        <v>1.857979463746422E-2</v>
      </c>
      <c r="H28" t="s">
        <v>91</v>
      </c>
      <c r="I28" t="s">
        <v>93</v>
      </c>
    </row>
    <row r="29" spans="2:9" x14ac:dyDescent="0.3">
      <c r="B29">
        <v>7</v>
      </c>
      <c r="C29">
        <v>0</v>
      </c>
      <c r="D29">
        <v>-38079</v>
      </c>
      <c r="E29">
        <f t="shared" si="4"/>
        <v>38079</v>
      </c>
      <c r="F29">
        <f t="shared" si="3"/>
        <v>38079</v>
      </c>
      <c r="G29">
        <f t="shared" si="5"/>
        <v>3.7159589274928441E-2</v>
      </c>
      <c r="H29" t="s">
        <v>89</v>
      </c>
      <c r="I29" t="s">
        <v>93</v>
      </c>
    </row>
    <row r="30" spans="2:9" x14ac:dyDescent="0.3">
      <c r="B30">
        <v>8</v>
      </c>
      <c r="C30">
        <v>24667</v>
      </c>
      <c r="D30">
        <v>-14384</v>
      </c>
      <c r="E30">
        <f t="shared" si="4"/>
        <v>39051</v>
      </c>
      <c r="F30">
        <f t="shared" si="3"/>
        <v>39051</v>
      </c>
      <c r="G30">
        <f t="shared" si="5"/>
        <v>3.6234667486107909E-2</v>
      </c>
      <c r="H30" t="s">
        <v>94</v>
      </c>
      <c r="I30" t="s">
        <v>95</v>
      </c>
    </row>
    <row r="31" spans="2:9" x14ac:dyDescent="0.3">
      <c r="B31">
        <v>9</v>
      </c>
      <c r="C31">
        <v>30256</v>
      </c>
      <c r="D31">
        <v>-24667</v>
      </c>
      <c r="E31">
        <f t="shared" si="4"/>
        <v>54923</v>
      </c>
      <c r="F31">
        <f t="shared" si="3"/>
        <v>54923</v>
      </c>
      <c r="G31">
        <f t="shared" si="5"/>
        <v>2.5763341405240062E-2</v>
      </c>
    </row>
    <row r="32" spans="2:9" x14ac:dyDescent="0.3">
      <c r="B32">
        <v>10</v>
      </c>
      <c r="C32">
        <v>30655</v>
      </c>
      <c r="D32">
        <v>-30256</v>
      </c>
      <c r="E32">
        <f t="shared" si="4"/>
        <v>60911</v>
      </c>
      <c r="F32">
        <f t="shared" si="3"/>
        <v>60911</v>
      </c>
      <c r="G32">
        <f t="shared" si="5"/>
        <v>2.3230615159823349E-2</v>
      </c>
    </row>
    <row r="33" spans="1:17" x14ac:dyDescent="0.3">
      <c r="B33">
        <v>11</v>
      </c>
      <c r="E33">
        <f t="shared" si="4"/>
        <v>0</v>
      </c>
      <c r="F33">
        <f t="shared" si="3"/>
        <v>0</v>
      </c>
      <c r="G33" t="e">
        <f t="shared" si="5"/>
        <v>#DIV/0!</v>
      </c>
    </row>
    <row r="34" spans="1:17" x14ac:dyDescent="0.3">
      <c r="B34">
        <v>12</v>
      </c>
      <c r="E34">
        <f t="shared" si="4"/>
        <v>0</v>
      </c>
      <c r="F34">
        <f t="shared" si="3"/>
        <v>0</v>
      </c>
      <c r="G34" t="e">
        <f t="shared" si="5"/>
        <v>#DIV/0!</v>
      </c>
    </row>
    <row r="35" spans="1:17" x14ac:dyDescent="0.3">
      <c r="B35">
        <v>13</v>
      </c>
      <c r="E35">
        <f t="shared" si="4"/>
        <v>0</v>
      </c>
      <c r="F35">
        <f t="shared" si="3"/>
        <v>0</v>
      </c>
      <c r="G35" t="e">
        <f t="shared" si="5"/>
        <v>#DIV/0!</v>
      </c>
    </row>
    <row r="36" spans="1:17" x14ac:dyDescent="0.3">
      <c r="B36">
        <v>14</v>
      </c>
      <c r="E36">
        <f t="shared" si="4"/>
        <v>0</v>
      </c>
      <c r="F36">
        <f t="shared" si="3"/>
        <v>0</v>
      </c>
      <c r="G36" t="e">
        <f t="shared" si="5"/>
        <v>#DIV/0!</v>
      </c>
    </row>
    <row r="37" spans="1:17" x14ac:dyDescent="0.3">
      <c r="B37">
        <v>15</v>
      </c>
      <c r="E37">
        <f t="shared" si="4"/>
        <v>0</v>
      </c>
      <c r="F37">
        <f t="shared" si="3"/>
        <v>0</v>
      </c>
      <c r="G37" t="e">
        <f t="shared" si="5"/>
        <v>#DIV/0!</v>
      </c>
    </row>
    <row r="42" spans="1:17" x14ac:dyDescent="0.3">
      <c r="C42" t="s">
        <v>82</v>
      </c>
      <c r="D42" t="s">
        <v>96</v>
      </c>
      <c r="E42" t="s">
        <v>97</v>
      </c>
      <c r="F42" t="s">
        <v>98</v>
      </c>
      <c r="G42" t="s">
        <v>99</v>
      </c>
      <c r="H42" t="s">
        <v>100</v>
      </c>
      <c r="I42" t="s">
        <v>101</v>
      </c>
    </row>
    <row r="43" spans="1:17" x14ac:dyDescent="0.3">
      <c r="C43">
        <v>20</v>
      </c>
      <c r="D43">
        <v>999</v>
      </c>
      <c r="E43">
        <v>2</v>
      </c>
      <c r="F43">
        <v>0</v>
      </c>
      <c r="G43">
        <f>D43-E43</f>
        <v>997</v>
      </c>
      <c r="H43">
        <f t="shared" ref="H43:H50" si="6">C43/G43</f>
        <v>2.0060180541624874E-2</v>
      </c>
      <c r="I43">
        <f>G43/C43</f>
        <v>49.85</v>
      </c>
    </row>
    <row r="44" spans="1:17" x14ac:dyDescent="0.3">
      <c r="A44" s="108"/>
      <c r="B44" s="108"/>
      <c r="C44" s="108">
        <v>165</v>
      </c>
      <c r="D44" s="108">
        <v>2</v>
      </c>
      <c r="E44" s="108">
        <v>9997</v>
      </c>
      <c r="F44" s="108">
        <v>10000</v>
      </c>
      <c r="G44" s="108">
        <f>E44-D44</f>
        <v>9995</v>
      </c>
      <c r="H44" s="108">
        <f t="shared" si="6"/>
        <v>1.6508254127063533E-2</v>
      </c>
      <c r="I44" s="108">
        <f t="shared" ref="I44:I54" si="7">G44/C44</f>
        <v>60.575757575757578</v>
      </c>
      <c r="J44" s="108"/>
      <c r="K44" s="108"/>
      <c r="L44" s="108"/>
      <c r="M44" s="108"/>
      <c r="N44" s="108"/>
      <c r="O44" s="108"/>
      <c r="P44" s="108"/>
      <c r="Q44" s="108"/>
    </row>
    <row r="45" spans="1:17" x14ac:dyDescent="0.3">
      <c r="A45" s="110" t="s">
        <v>102</v>
      </c>
      <c r="B45" s="110"/>
      <c r="C45" s="110">
        <v>500</v>
      </c>
      <c r="D45" s="110">
        <v>2</v>
      </c>
      <c r="E45" s="110">
        <v>-30002</v>
      </c>
      <c r="F45" s="110">
        <v>-30000</v>
      </c>
      <c r="G45" s="110">
        <f>D45-E45</f>
        <v>30004</v>
      </c>
      <c r="H45" s="110">
        <f t="shared" si="6"/>
        <v>1.666444474070124E-2</v>
      </c>
      <c r="I45" s="110">
        <f t="shared" si="7"/>
        <v>60.008000000000003</v>
      </c>
      <c r="J45" s="110"/>
      <c r="K45" s="110"/>
      <c r="L45" s="110"/>
      <c r="M45" s="110"/>
      <c r="N45" s="110"/>
      <c r="O45" s="110"/>
      <c r="P45" s="110"/>
      <c r="Q45" s="110"/>
    </row>
    <row r="46" spans="1:17" x14ac:dyDescent="0.3">
      <c r="C46" s="108">
        <v>165</v>
      </c>
      <c r="D46" s="108">
        <v>0</v>
      </c>
      <c r="E46" s="108">
        <v>9996</v>
      </c>
      <c r="F46" s="108">
        <v>10000</v>
      </c>
      <c r="G46" s="108">
        <f>E46</f>
        <v>9996</v>
      </c>
      <c r="H46" s="108">
        <f t="shared" si="6"/>
        <v>1.6506602641056422E-2</v>
      </c>
      <c r="I46">
        <f t="shared" si="7"/>
        <v>60.581818181818178</v>
      </c>
    </row>
    <row r="47" spans="1:17" x14ac:dyDescent="0.3">
      <c r="C47" s="108">
        <v>498</v>
      </c>
      <c r="D47" s="108">
        <v>0</v>
      </c>
      <c r="E47" s="108">
        <v>30001</v>
      </c>
      <c r="F47" s="108">
        <v>30000</v>
      </c>
      <c r="G47" s="108">
        <f>E47</f>
        <v>30001</v>
      </c>
      <c r="H47" s="108">
        <f t="shared" si="6"/>
        <v>1.6599446685110496E-2</v>
      </c>
      <c r="I47">
        <f t="shared" si="7"/>
        <v>60.242971887550198</v>
      </c>
    </row>
    <row r="48" spans="1:17" x14ac:dyDescent="0.3">
      <c r="C48" s="108">
        <v>997</v>
      </c>
      <c r="D48" s="109">
        <v>0</v>
      </c>
      <c r="E48" s="109">
        <v>60000</v>
      </c>
      <c r="F48" s="109">
        <v>60000</v>
      </c>
      <c r="G48" s="108">
        <v>60000</v>
      </c>
      <c r="H48" s="108">
        <f t="shared" si="6"/>
        <v>1.6616666666666665E-2</v>
      </c>
      <c r="I48">
        <f t="shared" si="7"/>
        <v>60.180541624874621</v>
      </c>
    </row>
    <row r="49" spans="3:9" x14ac:dyDescent="0.3">
      <c r="C49" s="109">
        <v>167</v>
      </c>
      <c r="D49" s="109">
        <v>0</v>
      </c>
      <c r="E49" s="109">
        <v>9998</v>
      </c>
      <c r="F49" s="109">
        <v>10000</v>
      </c>
      <c r="G49" s="108">
        <f t="shared" ref="G49:G54" si="8">E49</f>
        <v>9998</v>
      </c>
      <c r="H49" s="108">
        <f t="shared" si="6"/>
        <v>1.6703340668133625E-2</v>
      </c>
      <c r="I49">
        <f t="shared" si="7"/>
        <v>59.868263473053894</v>
      </c>
    </row>
    <row r="50" spans="3:9" x14ac:dyDescent="0.3">
      <c r="C50" s="109">
        <v>167</v>
      </c>
      <c r="D50" s="109">
        <v>0</v>
      </c>
      <c r="E50" s="109">
        <v>9998</v>
      </c>
      <c r="F50" s="109">
        <v>10000</v>
      </c>
      <c r="G50" s="108">
        <f t="shared" si="8"/>
        <v>9998</v>
      </c>
      <c r="H50" s="108">
        <f t="shared" si="6"/>
        <v>1.6703340668133625E-2</v>
      </c>
      <c r="I50">
        <f t="shared" si="7"/>
        <v>59.868263473053894</v>
      </c>
    </row>
    <row r="51" spans="3:9" x14ac:dyDescent="0.3">
      <c r="C51" s="109">
        <v>499</v>
      </c>
      <c r="D51" s="109">
        <v>0</v>
      </c>
      <c r="E51" s="109">
        <v>30000</v>
      </c>
      <c r="F51" s="109">
        <v>30000</v>
      </c>
      <c r="G51" s="109">
        <f t="shared" si="8"/>
        <v>30000</v>
      </c>
      <c r="H51" s="108">
        <f t="shared" ref="H51:H54" si="9">C51/G51</f>
        <v>1.6633333333333333E-2</v>
      </c>
      <c r="I51">
        <f t="shared" si="7"/>
        <v>60.120240480961925</v>
      </c>
    </row>
    <row r="52" spans="3:9" x14ac:dyDescent="0.3">
      <c r="C52" s="109">
        <v>499</v>
      </c>
      <c r="D52" s="109">
        <v>0</v>
      </c>
      <c r="E52" s="109">
        <v>29999</v>
      </c>
      <c r="F52" s="109">
        <v>30000</v>
      </c>
      <c r="G52" s="109">
        <f t="shared" si="8"/>
        <v>29999</v>
      </c>
      <c r="H52" s="108">
        <f t="shared" si="9"/>
        <v>1.6633887796259874E-2</v>
      </c>
      <c r="I52">
        <f t="shared" si="7"/>
        <v>60.118236472945888</v>
      </c>
    </row>
    <row r="53" spans="3:9" x14ac:dyDescent="0.3">
      <c r="C53" s="109">
        <v>997</v>
      </c>
      <c r="D53" s="109">
        <v>0</v>
      </c>
      <c r="E53" s="109">
        <v>60002</v>
      </c>
      <c r="F53" s="109">
        <v>60000</v>
      </c>
      <c r="G53" s="109">
        <f t="shared" si="8"/>
        <v>60002</v>
      </c>
      <c r="H53" s="108">
        <f t="shared" si="9"/>
        <v>1.6616112796240125E-2</v>
      </c>
      <c r="I53">
        <f t="shared" si="7"/>
        <v>60.182547642928789</v>
      </c>
    </row>
    <row r="54" spans="3:9" x14ac:dyDescent="0.3">
      <c r="C54" s="109">
        <v>996</v>
      </c>
      <c r="D54" s="109">
        <v>0</v>
      </c>
      <c r="E54" s="109">
        <v>59999</v>
      </c>
      <c r="F54" s="109">
        <v>60000</v>
      </c>
      <c r="G54" s="109">
        <f t="shared" si="8"/>
        <v>59999</v>
      </c>
      <c r="H54" s="108">
        <f t="shared" si="9"/>
        <v>1.6600276671277853E-2</v>
      </c>
      <c r="I54">
        <f t="shared" si="7"/>
        <v>60.239959839357432</v>
      </c>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2025-12-11T10:03:34Z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