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xr:revisionPtr revIDLastSave="0" documentId="13_ncr:1_{65778055-BB97-4000-A6C8-671B583E1D7D}" xr6:coauthVersionLast="47" xr6:coauthVersionMax="47" xr10:uidLastSave="{00000000-0000-0000-0000-000000000000}"/>
  <bookViews>
    <workbookView xWindow="-108" yWindow="-108" windowWidth="23256" windowHeight="12456" activeTab="1" xr2:uid="{00000000-000D-0000-FFFF-FFFF00000000}"/>
  </bookViews>
  <sheets>
    <sheet name="ProjectPlanning" sheetId="11" r:id="rId1"/>
    <sheet name="Berekeningen" sheetId="13" r:id="rId2"/>
    <sheet name="Over" sheetId="12" state="hidden" r:id="rId3"/>
  </sheets>
  <definedNames>
    <definedName name="_xlnm.Print_Titles" localSheetId="0">ProjectPlanning!$4:$6</definedName>
    <definedName name="Begin_project">ProjectPlanning!$D$3</definedName>
    <definedName name="HOI">ProjectPlanning!$E$4</definedName>
    <definedName name="jestinkt">ProjectPlanning!$E$4</definedName>
    <definedName name="task_end" localSheetId="0">ProjectPlanning!$E1</definedName>
    <definedName name="task_progress" localSheetId="0">ProjectPlanning!$C1</definedName>
    <definedName name="task_start" localSheetId="0">ProjectPlanning!$D1</definedName>
    <definedName name="vandaag" localSheetId="0">TODAY()</definedName>
    <definedName name="Weergegeven_week">ProjectPlanning!$D$4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7" i="13" l="1"/>
  <c r="D74" i="13"/>
  <c r="D76" i="13"/>
  <c r="D75" i="13"/>
  <c r="I71" i="13"/>
  <c r="I58" i="13"/>
  <c r="I59" i="13"/>
  <c r="I60" i="13"/>
  <c r="I61" i="13"/>
  <c r="I62" i="13"/>
  <c r="I63" i="13"/>
  <c r="I64" i="13"/>
  <c r="I65" i="13"/>
  <c r="I66" i="13"/>
  <c r="I67" i="13"/>
  <c r="I68" i="13"/>
  <c r="I69" i="13"/>
  <c r="I70" i="13"/>
  <c r="I57" i="13"/>
  <c r="I54" i="13"/>
  <c r="H58" i="13"/>
  <c r="H59" i="13"/>
  <c r="H60" i="13"/>
  <c r="H61" i="13"/>
  <c r="H62" i="13"/>
  <c r="H63" i="13"/>
  <c r="H64" i="13"/>
  <c r="H65" i="13"/>
  <c r="H66" i="13"/>
  <c r="H67" i="13"/>
  <c r="H68" i="13"/>
  <c r="H69" i="13"/>
  <c r="H70" i="13"/>
  <c r="H71" i="13"/>
  <c r="H57" i="13"/>
  <c r="G58" i="13"/>
  <c r="G59" i="13"/>
  <c r="G60" i="13"/>
  <c r="G61" i="13"/>
  <c r="G62" i="13"/>
  <c r="G63" i="13"/>
  <c r="G64" i="13"/>
  <c r="G65" i="13"/>
  <c r="G66" i="13"/>
  <c r="G67" i="13"/>
  <c r="G68" i="13"/>
  <c r="G69" i="13"/>
  <c r="G70" i="13"/>
  <c r="G71" i="13"/>
  <c r="F58" i="13"/>
  <c r="F59" i="13"/>
  <c r="F60" i="13"/>
  <c r="F61" i="13"/>
  <c r="F62" i="13"/>
  <c r="F63" i="13"/>
  <c r="F64" i="13"/>
  <c r="F65" i="13"/>
  <c r="F66" i="13"/>
  <c r="F67" i="13"/>
  <c r="F68" i="13"/>
  <c r="F69" i="13"/>
  <c r="F70" i="13"/>
  <c r="F71" i="13"/>
  <c r="I44" i="13"/>
  <c r="I45" i="13"/>
  <c r="I46" i="13"/>
  <c r="I47" i="13"/>
  <c r="I48" i="13"/>
  <c r="I49" i="13"/>
  <c r="I50" i="13"/>
  <c r="I51" i="13"/>
  <c r="I52" i="13"/>
  <c r="I53" i="13"/>
  <c r="I43" i="13"/>
  <c r="G54" i="13"/>
  <c r="H54" i="13" s="1"/>
  <c r="G53" i="13"/>
  <c r="G52" i="13"/>
  <c r="H52" i="13" s="1"/>
  <c r="G51" i="13"/>
  <c r="G50" i="13"/>
  <c r="G49" i="13"/>
  <c r="H49" i="13" s="1"/>
  <c r="G47" i="13"/>
  <c r="H47" i="13" s="1"/>
  <c r="H51" i="13"/>
  <c r="H53" i="13"/>
  <c r="H50" i="13"/>
  <c r="H48" i="13"/>
  <c r="H46" i="13"/>
  <c r="G46" i="13"/>
  <c r="H45" i="13"/>
  <c r="G45" i="13"/>
  <c r="H44" i="13"/>
  <c r="G44" i="13"/>
  <c r="H43" i="13"/>
  <c r="G43" i="13"/>
  <c r="E30" i="13"/>
  <c r="F30" i="13" s="1"/>
  <c r="G30" i="13" s="1"/>
  <c r="E25" i="13"/>
  <c r="F25" i="13" s="1"/>
  <c r="G25" i="13" s="1"/>
  <c r="E26" i="13"/>
  <c r="F26" i="13" s="1"/>
  <c r="G26" i="13" s="1"/>
  <c r="E27" i="13"/>
  <c r="F27" i="13" s="1"/>
  <c r="G27" i="13" s="1"/>
  <c r="E28" i="13"/>
  <c r="F28" i="13" s="1"/>
  <c r="G28" i="13" s="1"/>
  <c r="E29" i="13"/>
  <c r="E31" i="13"/>
  <c r="F31" i="13" s="1"/>
  <c r="G31" i="13" s="1"/>
  <c r="E32" i="13"/>
  <c r="F32" i="13" s="1"/>
  <c r="G32" i="13" s="1"/>
  <c r="E33" i="13"/>
  <c r="E34" i="13"/>
  <c r="E35" i="13"/>
  <c r="F35" i="13" s="1"/>
  <c r="G35" i="13" s="1"/>
  <c r="E36" i="13"/>
  <c r="F36" i="13" s="1"/>
  <c r="G36" i="13" s="1"/>
  <c r="E37" i="13"/>
  <c r="F37" i="13" s="1"/>
  <c r="G37" i="13" s="1"/>
  <c r="G23" i="13"/>
  <c r="G24" i="13"/>
  <c r="F24" i="13"/>
  <c r="F29" i="13"/>
  <c r="G29" i="13" s="1"/>
  <c r="F33" i="13"/>
  <c r="G33" i="13" s="1"/>
  <c r="F34" i="13"/>
  <c r="G34" i="13" s="1"/>
  <c r="F23" i="13"/>
  <c r="E24" i="13"/>
  <c r="E23" i="13"/>
  <c r="E41" i="11"/>
  <c r="D22" i="11"/>
  <c r="E22" i="11" s="1"/>
  <c r="D23" i="11"/>
  <c r="E23" i="11" s="1"/>
  <c r="D18" i="11"/>
  <c r="E18" i="11" s="1"/>
  <c r="C14" i="13"/>
  <c r="E14" i="13" s="1"/>
  <c r="E13" i="13"/>
  <c r="D13" i="13"/>
  <c r="C13" i="13"/>
  <c r="C12" i="13"/>
  <c r="D12" i="13" s="1"/>
  <c r="C11" i="13"/>
  <c r="E11" i="13" s="1"/>
  <c r="C10" i="13"/>
  <c r="E10" i="13" s="1"/>
  <c r="B7" i="13"/>
  <c r="D13" i="11"/>
  <c r="E13" i="11"/>
  <c r="E12" i="11"/>
  <c r="D12" i="11"/>
  <c r="D9" i="11"/>
  <c r="D11" i="11"/>
  <c r="D10" i="11"/>
  <c r="E10" i="11"/>
  <c r="E11" i="11"/>
  <c r="E9" i="11"/>
  <c r="D3" i="11"/>
  <c r="D15" i="11" s="1"/>
  <c r="D17" i="11" s="1"/>
  <c r="E17" i="11" s="1"/>
  <c r="G7" i="11"/>
  <c r="G57" i="13" l="1"/>
  <c r="E15" i="11"/>
  <c r="E12" i="13"/>
  <c r="D11" i="13"/>
  <c r="D10" i="13"/>
  <c r="D14" i="13"/>
  <c r="H5" i="11" l="1"/>
  <c r="G62" i="11"/>
  <c r="G61" i="11"/>
  <c r="H6" i="11" l="1"/>
  <c r="I5" i="11" l="1"/>
  <c r="J5" i="11" s="1"/>
  <c r="K5" i="11" s="1"/>
  <c r="L5" i="11" s="1"/>
  <c r="M5" i="11" s="1"/>
  <c r="N5" i="11" s="1"/>
  <c r="O5" i="11" s="1"/>
  <c r="H4" i="11"/>
  <c r="O4" i="11" l="1"/>
  <c r="P5" i="11"/>
  <c r="Q5" i="11" s="1"/>
  <c r="R5" i="11" s="1"/>
  <c r="S5" i="11" s="1"/>
  <c r="T5" i="11" s="1"/>
  <c r="U5" i="11" s="1"/>
  <c r="V5" i="11" s="1"/>
  <c r="I6" i="11"/>
  <c r="V4" i="11" l="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E5" i="11" s="1"/>
  <c r="BC6" i="11"/>
  <c r="X6" i="11"/>
  <c r="BE6" i="11" l="1"/>
  <c r="BF5" i="11"/>
  <c r="BE4" i="11"/>
  <c r="BD6" i="11"/>
  <c r="Y6" i="11"/>
  <c r="BF6" i="11" l="1"/>
  <c r="BG5" i="11"/>
  <c r="Z6" i="11"/>
  <c r="BG6" i="11" l="1"/>
  <c r="BH5" i="11"/>
  <c r="AA6" i="11"/>
  <c r="BH6" i="11" l="1"/>
  <c r="BI5" i="11"/>
  <c r="AB6" i="11"/>
  <c r="BI6" i="11" l="1"/>
  <c r="BJ5" i="11"/>
  <c r="AC6" i="11"/>
  <c r="BK5" i="11" l="1"/>
  <c r="BJ6" i="11"/>
  <c r="AD6" i="11"/>
  <c r="BK6" i="11" l="1"/>
  <c r="BL5" i="11"/>
  <c r="AE6" i="11"/>
  <c r="BL6" i="11" l="1"/>
  <c r="BL4" i="11"/>
  <c r="BM5" i="11"/>
  <c r="AF6" i="11"/>
  <c r="BN5" i="11" l="1"/>
  <c r="BM6" i="11"/>
  <c r="AG6" i="11"/>
  <c r="BO5" i="11" l="1"/>
  <c r="BN6" i="11"/>
  <c r="AH6" i="11"/>
  <c r="BP5" i="11" l="1"/>
  <c r="BO6" i="11"/>
  <c r="AI6" i="11"/>
  <c r="BP6" i="11" l="1"/>
  <c r="BQ5" i="11"/>
  <c r="AJ6" i="11"/>
  <c r="BR5" i="11" l="1"/>
  <c r="BQ6" i="11"/>
  <c r="AK6" i="11"/>
  <c r="BR6" i="11" l="1"/>
  <c r="BS5" i="11"/>
  <c r="AL6" i="11"/>
  <c r="BS4" i="11" l="1"/>
  <c r="BT5" i="11"/>
  <c r="BS6" i="11"/>
  <c r="AM6" i="11"/>
  <c r="BT6" i="11" l="1"/>
  <c r="BU5" i="11"/>
  <c r="AN6" i="11"/>
  <c r="BV5" i="11" l="1"/>
  <c r="BU6" i="11"/>
  <c r="AO6" i="11"/>
  <c r="BW5" i="11" l="1"/>
  <c r="BV6" i="11"/>
  <c r="AP6" i="11"/>
  <c r="BX5" i="11" l="1"/>
  <c r="BW6" i="11"/>
  <c r="AQ6" i="11"/>
  <c r="BY5" i="11" l="1"/>
  <c r="BX6" i="11"/>
  <c r="BY6" i="11" l="1"/>
  <c r="BZ5" i="11"/>
  <c r="BZ4" i="11" l="1"/>
  <c r="CA5" i="11"/>
  <c r="BZ6" i="11"/>
  <c r="CB5" i="11" l="1"/>
  <c r="CA6" i="11"/>
  <c r="CC5" i="11" l="1"/>
  <c r="CB6" i="11"/>
  <c r="CC6" i="11" l="1"/>
  <c r="CD5" i="11"/>
  <c r="CD6" i="11" l="1"/>
  <c r="CE5" i="11"/>
  <c r="CE6" i="11" l="1"/>
  <c r="CF5" i="11"/>
  <c r="CF6" i="11" l="1"/>
  <c r="CG5" i="11"/>
  <c r="CG4" i="11" l="1"/>
  <c r="CG6" i="11"/>
  <c r="CH5" i="11"/>
  <c r="CI5" i="11" l="1"/>
  <c r="CH6" i="11"/>
  <c r="CJ5" i="11" l="1"/>
  <c r="CI6" i="11"/>
  <c r="CK5" i="11" l="1"/>
  <c r="CJ6" i="11"/>
  <c r="CL5" i="11" l="1"/>
  <c r="CK6" i="11"/>
  <c r="CM5" i="11" l="1"/>
  <c r="CL6" i="11"/>
  <c r="CN5" i="11" l="1"/>
  <c r="CM6" i="11"/>
  <c r="CN4" i="11" l="1"/>
  <c r="CN6" i="11"/>
  <c r="CO5" i="11"/>
  <c r="CO6" i="11" l="1"/>
  <c r="CP5" i="11"/>
  <c r="CP6" i="11" l="1"/>
  <c r="CQ5" i="11"/>
  <c r="CQ6" i="11" l="1"/>
  <c r="CR5" i="11"/>
  <c r="CR6" i="11" l="1"/>
  <c r="CS5" i="11"/>
  <c r="CS6" i="11" l="1"/>
  <c r="CT5" i="11"/>
  <c r="CU5" i="11" l="1"/>
  <c r="CT6" i="11"/>
  <c r="CV5" i="11" l="1"/>
  <c r="CU6" i="11"/>
  <c r="CU4" i="11"/>
  <c r="CW5" i="11" l="1"/>
  <c r="CV6" i="11"/>
  <c r="CX5" i="11" l="1"/>
  <c r="CW6" i="11"/>
  <c r="CY5" i="11" l="1"/>
  <c r="CX6" i="11"/>
  <c r="CZ5" i="11" l="1"/>
  <c r="CY6" i="11"/>
  <c r="CZ6" i="11" l="1"/>
  <c r="DA5" i="11"/>
  <c r="DA6" i="11" l="1"/>
  <c r="DB5" i="11"/>
  <c r="DB6" i="11" l="1"/>
  <c r="DB4" i="11"/>
  <c r="DC5" i="11"/>
  <c r="DC6" i="11" l="1"/>
  <c r="DD5" i="11"/>
  <c r="DD6" i="11" l="1"/>
  <c r="DE5" i="11"/>
  <c r="DE6" i="11" l="1"/>
  <c r="DF5" i="11"/>
  <c r="DF6" i="11" l="1"/>
  <c r="DG5" i="11"/>
  <c r="DG6" i="11" l="1"/>
  <c r="DH5" i="11"/>
  <c r="DH6" i="11" l="1"/>
  <c r="DI5" i="11"/>
  <c r="DI6" i="11" l="1"/>
  <c r="DI4" i="11"/>
  <c r="DJ5" i="11"/>
  <c r="DJ6" i="11" l="1"/>
  <c r="DK5" i="11"/>
  <c r="DL5" i="11" l="1"/>
  <c r="DK6" i="11"/>
  <c r="DM5" i="11" l="1"/>
  <c r="DL6" i="11"/>
  <c r="DM6" i="11" l="1"/>
  <c r="DN5" i="11"/>
  <c r="DN6" i="11" l="1"/>
  <c r="DO5" i="11"/>
  <c r="DO6" i="11" l="1"/>
  <c r="DP5" i="11"/>
  <c r="DP4" i="11" l="1"/>
  <c r="DQ5" i="11"/>
  <c r="DP6" i="11"/>
  <c r="DQ6" i="11" l="1"/>
  <c r="DR5" i="11"/>
  <c r="DR6" i="11" l="1"/>
  <c r="DS5" i="11"/>
  <c r="DS6" i="11" l="1"/>
  <c r="DT5" i="11"/>
  <c r="DT6" i="11" l="1"/>
  <c r="DU5" i="11"/>
  <c r="DU6" i="11" l="1"/>
  <c r="DV5" i="11"/>
  <c r="DV6" i="11" l="1"/>
  <c r="DW5" i="11"/>
  <c r="DW4" i="11" l="1"/>
  <c r="DW6" i="11"/>
  <c r="DX5" i="11"/>
  <c r="DY5" i="11" l="1"/>
  <c r="DX6" i="11"/>
  <c r="DZ5" i="11" l="1"/>
  <c r="DY6" i="11"/>
  <c r="DZ6" i="11" l="1"/>
  <c r="EA5" i="11"/>
  <c r="EA6" i="11" l="1"/>
  <c r="EB5" i="11"/>
  <c r="EB6" i="11" l="1"/>
  <c r="EC5" i="11"/>
  <c r="EC6" i="11" l="1"/>
  <c r="ED5" i="11"/>
  <c r="ED4" i="11" l="1"/>
  <c r="ED6" i="11"/>
  <c r="EE5" i="11"/>
  <c r="EE6" i="11" l="1"/>
  <c r="EF5" i="11"/>
  <c r="EF6" i="11" l="1"/>
  <c r="EG5" i="11"/>
  <c r="EG6" i="11" l="1"/>
  <c r="EH5" i="11"/>
  <c r="EH6" i="11" l="1"/>
  <c r="EI5" i="11"/>
  <c r="EJ5" i="11" l="1"/>
  <c r="EI6" i="11"/>
  <c r="EJ6" i="11" l="1"/>
  <c r="EK5" i="11"/>
  <c r="EL5" i="11" l="1"/>
  <c r="EK4" i="11"/>
  <c r="EK6" i="11"/>
  <c r="EM5" i="11" l="1"/>
  <c r="EL6" i="11"/>
  <c r="EN5" i="11" l="1"/>
  <c r="EM6" i="11"/>
  <c r="EO5" i="11" l="1"/>
  <c r="EN6" i="11"/>
  <c r="EP5" i="11" l="1"/>
  <c r="EO6" i="11"/>
  <c r="EP6" i="11" l="1"/>
  <c r="EQ5" i="11"/>
  <c r="EQ6" i="11" l="1"/>
  <c r="ER5" i="11"/>
  <c r="ER6" i="11" l="1"/>
  <c r="ES5" i="11"/>
  <c r="ER4" i="11"/>
  <c r="ET5" i="11" l="1"/>
  <c r="ES6" i="11"/>
  <c r="EU5" i="11" l="1"/>
  <c r="ET6" i="11"/>
  <c r="EV5" i="11" l="1"/>
  <c r="EU6" i="11"/>
  <c r="EW5" i="11" l="1"/>
  <c r="EV6" i="11"/>
  <c r="EX5" i="11" l="1"/>
  <c r="EW6" i="11"/>
  <c r="EY5" i="11" l="1"/>
  <c r="EX6" i="11"/>
  <c r="EZ5" i="11" l="1"/>
  <c r="EY6" i="11"/>
  <c r="EY4" i="11"/>
  <c r="FA5" i="11" l="1"/>
  <c r="EZ6" i="11"/>
  <c r="FB5" i="11" l="1"/>
  <c r="FA6" i="11"/>
  <c r="FC5" i="11" l="1"/>
  <c r="FB6" i="11"/>
  <c r="FD5" i="11" l="1"/>
  <c r="FC6" i="11"/>
  <c r="FD6" i="11" l="1"/>
  <c r="FE5" i="11"/>
  <c r="FE6" i="11" l="1"/>
  <c r="FF5" i="11"/>
  <c r="FF4" i="11" l="1"/>
  <c r="FG5" i="11"/>
  <c r="FF6" i="11"/>
  <c r="FH5" i="11" l="1"/>
  <c r="FG6" i="11"/>
  <c r="FI5" i="11" l="1"/>
  <c r="FH6" i="11"/>
  <c r="FJ5" i="11" l="1"/>
  <c r="FI6" i="11"/>
  <c r="FK5" i="11" l="1"/>
  <c r="FJ6" i="11"/>
  <c r="FL5" i="11" l="1"/>
  <c r="FK6" i="11"/>
  <c r="FL6" i="11" l="1"/>
  <c r="FM5" i="11"/>
  <c r="FN5" i="11" l="1"/>
  <c r="FM4" i="11"/>
  <c r="FM6" i="11"/>
  <c r="FO5" i="11" l="1"/>
  <c r="FN6" i="11"/>
  <c r="FO6" i="11" l="1"/>
  <c r="FP5" i="11"/>
  <c r="FQ5" i="11" l="1"/>
  <c r="FP6" i="11"/>
  <c r="FQ6" i="11" l="1"/>
  <c r="FR5" i="11"/>
  <c r="FS5" i="11" l="1"/>
  <c r="FR6" i="11"/>
  <c r="FT5" i="11" l="1"/>
  <c r="FS6" i="11"/>
  <c r="FT4" i="11" l="1"/>
  <c r="FU5" i="11"/>
  <c r="FT6" i="11"/>
  <c r="FU6" i="11" l="1"/>
  <c r="FV5" i="11"/>
  <c r="FW5" i="11" l="1"/>
  <c r="FV6" i="11"/>
  <c r="FX5" i="11" l="1"/>
  <c r="FW6" i="11"/>
  <c r="FY5" i="11" l="1"/>
  <c r="FX6" i="11"/>
  <c r="FY6" i="11" l="1"/>
  <c r="FZ5" i="11"/>
  <c r="FZ6" i="11" s="1"/>
</calcChain>
</file>

<file path=xl/sharedStrings.xml><?xml version="1.0" encoding="utf-8"?>
<sst xmlns="http://schemas.openxmlformats.org/spreadsheetml/2006/main" count="135" uniqueCount="116">
  <si>
    <t>TAAK</t>
  </si>
  <si>
    <t>Voeg nieuwe rijen BOVEN deze in</t>
  </si>
  <si>
    <t>VOORTGANG</t>
  </si>
  <si>
    <t>START</t>
  </si>
  <si>
    <t>EINDE</t>
  </si>
  <si>
    <t>DAGEN</t>
  </si>
  <si>
    <t>EENVOUDIGE GANTT-DIAGRAM door Vertex42.com</t>
  </si>
  <si>
    <t>https://www.vertex42.com/ExcelTemplates/simple-gantt-chart.html</t>
  </si>
  <si>
    <t>Over deze sjabloon</t>
  </si>
  <si>
    <t>Deze sjabloon biedt een eenvoudige manier om een Gantt-diagram te maken voor het visualiseren en bijhouden van uw project. Voer gewoon uw taken en de begin- en einddatums in, zonder verplichte formules. De balken in het Gantt-diagram geven de duur van de taak weer en worden weergeven met behulp van voorwaardelijke opmaak. Voeg nieuwe taken in door nieuwe rijen in te voegen.</t>
  </si>
  <si>
    <t>Gids voor schermlezers</t>
  </si>
  <si>
    <t>Deze werkmap bevat twee werkbladen. 
Urenstaat
Over
De instructies voor elk werkblad staan in kolom A, beginnend in cel A1 van elk werkblad. Ze zijn geschreven met verborgen tekst. Elke stap leidt u door de informatie in die rij. Elke volgende stap gaat verder in cel A2, A3 enzovoort, tenzij uitdrukkelijk anderszins vermeld, bijvoorbeeld wanneer de instructietekst voor de volgende stap is: Ga naar cel A6. 
Deze verborgen tekst wordt niet afgedrukt.
Als u deze instructies van het werkblad wilt verwijderen, verwijdert u gewoon kolom A.</t>
  </si>
  <si>
    <t>Aanvullende help</t>
  </si>
  <si>
    <t>Klik op de koppeling hieronder om naar vertex42.com te gaan voor meer informatie over het gebruik van deze sjabloon, bijvoorbeeld hoe u dagen en werkdagen kunt berekenen, taakafhankelijkheden kunt maken, de kleuren van de balken kunt wijzigen, een schuifbalk kunt toevoegen om eenvoudiger de weergeven week te wijzigen, het weergegeven datumbereik in de grafiek kunt uitbreiden, enzovoort.</t>
  </si>
  <si>
    <t>Het eenvoudige Gantt-diagram gebruiken</t>
  </si>
  <si>
    <t>Meer projectmanagementsjablonen</t>
  </si>
  <si>
    <t>Ga naar Vertex42.com om andere projectmanagementsjablonen te downloaden, waaronder verschillende soorten projectplanningen, Gantt-diagrammen, takenlijsten, enzovoort.</t>
  </si>
  <si>
    <t>Projectmanagementsjablonen</t>
  </si>
  <si>
    <t>Over Vertex42</t>
  </si>
  <si>
    <t>Vertex42 biedt meer dan 300 professioneel ontworpen werkbladsjablonen voor bedrijven, thuisgebruik en het onderwijs. De meeste van deze sjablonen kunt u gratis downloaden. Deze verzameling omvat een verscheidenheid aan agenda’s, planners en planningen, en ook werkbladen voor uw persoonlijke financiën, zoals budgettering, schuldverlichting en kredietafschrijvingen.</t>
  </si>
  <si>
    <t>Voor bedrijven zijn er sjablonen beschikbaar voor facturen, urenstaten, voorraadbeheer, financiële overzichten en projectplanning. Docenten en leerlingen/studenten hebben de beschikking over resources zoals bladen voor klassenschema’s, rapporten en aanwezigheidsinfo. Organiseer uw gezinsleven met maaltijdplanners, controlelijsten en sportschema’s. Elke sjabloon is zorgvuldig onderzocht, verfijnd en mettertijd verbeterd op basis van de feedback van duizenden gebruikers.</t>
  </si>
  <si>
    <t>Sens2Sea</t>
  </si>
  <si>
    <t>Olaf Goudriaan</t>
  </si>
  <si>
    <t>Aansturing freesbank</t>
  </si>
  <si>
    <t>Analyseren</t>
  </si>
  <si>
    <t>Ontwerpen</t>
  </si>
  <si>
    <t>Realiseren</t>
  </si>
  <si>
    <t>Deadlines</t>
  </si>
  <si>
    <t>50% Presentatie</t>
  </si>
  <si>
    <t>95% Presentatie</t>
  </si>
  <si>
    <t>50% Inleverset</t>
  </si>
  <si>
    <t>100% Inleverset</t>
  </si>
  <si>
    <t>Vlog</t>
  </si>
  <si>
    <t>Ik had gemeten dat op de machine die er nu staat de band tussen de 40 en 50 mm beweegt. Ook had ik ik geteld dat het ongeveer 20 tanden had.</t>
  </si>
  <si>
    <t>40 mm per tandwiel met 20 tanden</t>
  </si>
  <si>
    <t>= 2 mm per tand op de band</t>
  </si>
  <si>
    <t>Dit heb ik nagemeten en klopte</t>
  </si>
  <si>
    <t>aantal tanden</t>
  </si>
  <si>
    <t>Afstand per rotatie (mm)</t>
  </si>
  <si>
    <t>600PPR nauwkeurigheid (mm)</t>
  </si>
  <si>
    <t>2400 PPR Nauwkeurigheid (mm)</t>
  </si>
  <si>
    <t>Realiseren: Stepper driver</t>
  </si>
  <si>
    <t>Realiseren: Sensor Reader</t>
  </si>
  <si>
    <t>Ontwerpen: FlowDiagram maken</t>
  </si>
  <si>
    <t>Analyseren: GRBL Onderzoeken</t>
  </si>
  <si>
    <t>Analyseren: G-Code Onderzoeken</t>
  </si>
  <si>
    <t>Ontwerpen: Electrisch Schema maken (Test opstelling)</t>
  </si>
  <si>
    <t>Ontwerpen: Electrisch Schema maken (volledig systeem)</t>
  </si>
  <si>
    <t>Realiseren: Sensor Aansluiten</t>
  </si>
  <si>
    <t>Adviseren</t>
  </si>
  <si>
    <t>GRBL Onderzoeken</t>
  </si>
  <si>
    <t>G-Code Onderzoeken</t>
  </si>
  <si>
    <t>Sensor Onderzoeken</t>
  </si>
  <si>
    <t>Vakantie</t>
  </si>
  <si>
    <t>Bedrijfs werk</t>
  </si>
  <si>
    <t>School</t>
  </si>
  <si>
    <t>Vakantie ish, onder voorbehoud</t>
  </si>
  <si>
    <t>P</t>
  </si>
  <si>
    <t>DEADLINE EIND 9.00!!</t>
  </si>
  <si>
    <t>INLEVEREN NU</t>
  </si>
  <si>
    <t>50% oplever</t>
  </si>
  <si>
    <t>Systeem Diagrammen maken</t>
  </si>
  <si>
    <t>Code: Movement Planner</t>
  </si>
  <si>
    <t>Code: G-code verwerker</t>
  </si>
  <si>
    <t>Code: Input parser</t>
  </si>
  <si>
    <t>Code: Serial input</t>
  </si>
  <si>
    <t xml:space="preserve">Code: Stepper </t>
  </si>
  <si>
    <t>Code: sensor</t>
  </si>
  <si>
    <t>Sensor Aansluiten</t>
  </si>
  <si>
    <t>Motor Aansluiten</t>
  </si>
  <si>
    <t>Testplannen schrijven</t>
  </si>
  <si>
    <t>Advies rapporten schrijven</t>
  </si>
  <si>
    <t>Stakeholder Analyse</t>
  </si>
  <si>
    <t>Requirements Opstellen + Scope</t>
  </si>
  <si>
    <t>Electrisch Schema maken (Test opstelling)</t>
  </si>
  <si>
    <t>Electrisch Schema maken (Volledige Opstelling)</t>
  </si>
  <si>
    <t>Documentatie Code</t>
  </si>
  <si>
    <t>Versie beheer opzetten</t>
  </si>
  <si>
    <t>Manage &amp; Controle + Professional Skils</t>
  </si>
  <si>
    <t>Systeem statemachine maken</t>
  </si>
  <si>
    <t>grote werkbank</t>
  </si>
  <si>
    <t>mm</t>
  </si>
  <si>
    <t>Start</t>
  </si>
  <si>
    <t>eind</t>
  </si>
  <si>
    <t>totaal</t>
  </si>
  <si>
    <t>nauwkeurigheid</t>
  </si>
  <si>
    <t>totaal pos</t>
  </si>
  <si>
    <t>Test</t>
  </si>
  <si>
    <t>snel</t>
  </si>
  <si>
    <t>note</t>
  </si>
  <si>
    <t>langzaam</t>
  </si>
  <si>
    <t>met motor</t>
  </si>
  <si>
    <t>nee</t>
  </si>
  <si>
    <t>niet accuraat</t>
  </si>
  <si>
    <t>ja</t>
  </si>
  <si>
    <t>begin</t>
  </si>
  <si>
    <t>end</t>
  </si>
  <si>
    <t>end target</t>
  </si>
  <si>
    <t>steps</t>
  </si>
  <si>
    <t>mm/step</t>
  </si>
  <si>
    <t>step/mm</t>
  </si>
  <si>
    <t>meetlint vanaf links</t>
  </si>
  <si>
    <t>CNC uitzoeken</t>
  </si>
  <si>
    <t>bracket ontwerpen</t>
  </si>
  <si>
    <t>Motor en sensor integreren</t>
  </si>
  <si>
    <t>Meerdere actuatoren en sensoren integreren</t>
  </si>
  <si>
    <t>stappen tellen</t>
  </si>
  <si>
    <t>stappen</t>
  </si>
  <si>
    <t>begin cm</t>
  </si>
  <si>
    <t>eind cm</t>
  </si>
  <si>
    <t>verschil</t>
  </si>
  <si>
    <t>1000 steps</t>
  </si>
  <si>
    <t>max verschil 1000</t>
  </si>
  <si>
    <t>cm</t>
  </si>
  <si>
    <t>max verschil 2000</t>
  </si>
  <si>
    <t>max verschil 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</si>
</sst>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 #,##0_);_(* \(#,##0\);_(* &quot;-&quot;_);_(@_)"/>
    <numFmt numFmtId="165" formatCode="_(* #,##0.00_);_(* \(#,##0.00\);_(* &quot;-&quot;??_);_(@_)"/>
    <numFmt numFmtId="166" formatCode="ddd\,\ m/d/yyyy"/>
    <numFmt numFmtId="167" formatCode="_-&quot;kr&quot;\ * #,##0.00_-;\-&quot;kr&quot;\ * #,##0.00_-;_-&quot;kr&quot;\ * &quot;-&quot;??_-;_-@_-"/>
    <numFmt numFmtId="168" formatCode="_-&quot;kr&quot;\ * #,##0_-;\-&quot;kr&quot;\ * #,##0_-;_-&quot;kr&quot;\ * &quot;-&quot;_-;_-@_-"/>
    <numFmt numFmtId="169" formatCode="d/mm/yy;@"/>
    <numFmt numFmtId="170" formatCode="d\ mmm\ yyyy"/>
    <numFmt numFmtId="171" formatCode="d"/>
    <numFmt numFmtId="172" formatCode="0.000"/>
    <numFmt numFmtId="176" formatCode="0.0"/>
  </numFmts>
  <fonts count="35"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11"/>
      <color theme="0" tint="-0.14999847407452621"/>
      <name val="Calibri"/>
      <family val="2"/>
      <scheme val="minor"/>
    </font>
  </fonts>
  <fills count="5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C00000"/>
        <bgColor indexed="64"/>
      </patternFill>
    </fill>
    <fill>
      <patternFill patternType="solid">
        <fgColor theme="1" tint="4.9989318521683403E-2"/>
        <bgColor indexed="64"/>
      </patternFill>
    </fill>
    <fill>
      <patternFill patternType="solid">
        <fgColor theme="0"/>
        <bgColor indexed="64"/>
      </patternFill>
    </fill>
  </fills>
  <borders count="2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rgb="FFC00000"/>
      </left>
      <right style="thin">
        <color rgb="FFC00000"/>
      </right>
      <top style="thin">
        <color rgb="FFC00000"/>
      </top>
      <bottom style="thin">
        <color rgb="FFC00000"/>
      </bottom>
      <diagonal/>
    </border>
    <border>
      <left/>
      <right/>
      <top/>
      <bottom style="thin">
        <color indexed="64"/>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8" fillId="0" borderId="0"/>
    <xf numFmtId="165" fontId="8" fillId="0" borderId="3" applyFont="0" applyFill="0" applyAlignment="0" applyProtection="0"/>
    <xf numFmtId="0" fontId="11"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9"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1" fillId="0" borderId="0" applyNumberForma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8" fontId="8" fillId="0" borderId="0" applyFont="0" applyFill="0" applyBorder="0" applyAlignment="0" applyProtection="0"/>
    <xf numFmtId="0" fontId="22" fillId="0" borderId="0" applyNumberFormat="0" applyFill="0" applyBorder="0" applyAlignment="0" applyProtection="0"/>
    <xf numFmtId="0" fontId="23" fillId="14" borderId="0" applyNumberFormat="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11" applyNumberFormat="0" applyAlignment="0" applyProtection="0"/>
    <xf numFmtId="0" fontId="27" fillId="18" borderId="12" applyNumberFormat="0" applyAlignment="0" applyProtection="0"/>
    <xf numFmtId="0" fontId="28" fillId="18" borderId="11" applyNumberFormat="0" applyAlignment="0" applyProtection="0"/>
    <xf numFmtId="0" fontId="29" fillId="0" borderId="13" applyNumberFormat="0" applyFill="0" applyAlignment="0" applyProtection="0"/>
    <xf numFmtId="0" fontId="30" fillId="19" borderId="14" applyNumberFormat="0" applyAlignment="0" applyProtection="0"/>
    <xf numFmtId="0" fontId="31" fillId="0" borderId="0" applyNumberFormat="0" applyFill="0" applyBorder="0" applyAlignment="0" applyProtection="0"/>
    <xf numFmtId="0" fontId="8" fillId="20"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18"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18"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18"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18"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120">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1" fillId="0" borderId="0" xfId="0" applyFont="1" applyAlignment="1">
      <alignment horizontal="center" vertical="center"/>
    </xf>
    <xf numFmtId="0" fontId="1"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1" fillId="0" borderId="0" xfId="0" applyFont="1" applyAlignment="1">
      <alignment horizontal="left" vertical="top"/>
    </xf>
    <xf numFmtId="0" fontId="14"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18" fillId="0" borderId="0" xfId="0" applyFont="1" applyAlignment="1">
      <alignment horizontal="center"/>
    </xf>
    <xf numFmtId="0" fontId="11" fillId="0" borderId="0" xfId="5" applyAlignment="1">
      <alignment horizontal="left"/>
    </xf>
    <xf numFmtId="0" fontId="9" fillId="0" borderId="0" xfId="6"/>
    <xf numFmtId="0" fontId="9" fillId="0" borderId="0" xfId="7">
      <alignment vertical="top"/>
    </xf>
    <xf numFmtId="0" fontId="8" fillId="3" borderId="2" xfId="12" applyFill="1">
      <alignment horizontal="left" vertical="center" indent="2"/>
    </xf>
    <xf numFmtId="0" fontId="8" fillId="4" borderId="2" xfId="12" applyFill="1">
      <alignment horizontal="left" vertical="center" indent="2"/>
    </xf>
    <xf numFmtId="0" fontId="8" fillId="11" borderId="2" xfId="12" applyFill="1">
      <alignment horizontal="left" vertical="center" indent="2"/>
    </xf>
    <xf numFmtId="0" fontId="8" fillId="10" borderId="2" xfId="12" applyFill="1">
      <alignment horizontal="left" vertical="center" indent="2"/>
    </xf>
    <xf numFmtId="0" fontId="8" fillId="0" borderId="2" xfId="12">
      <alignment horizontal="left" vertical="center" indent="2"/>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8" fillId="3" borderId="2" xfId="10" applyNumberFormat="1" applyFill="1">
      <alignment horizontal="center" vertical="center"/>
    </xf>
    <xf numFmtId="169" fontId="0" fillId="9" borderId="2" xfId="0" applyNumberFormat="1" applyFill="1" applyBorder="1" applyAlignment="1">
      <alignment horizontal="center" vertical="center"/>
    </xf>
    <xf numFmtId="169" fontId="4" fillId="9" borderId="2" xfId="0" applyNumberFormat="1" applyFont="1" applyFill="1" applyBorder="1" applyAlignment="1">
      <alignment horizontal="center" vertical="center"/>
    </xf>
    <xf numFmtId="169" fontId="8" fillId="4" borderId="2" xfId="10" applyNumberFormat="1" applyFill="1">
      <alignment horizontal="center" vertical="center"/>
    </xf>
    <xf numFmtId="169" fontId="0" fillId="6" borderId="2" xfId="0" applyNumberFormat="1" applyFill="1" applyBorder="1" applyAlignment="1">
      <alignment horizontal="center" vertical="center"/>
    </xf>
    <xf numFmtId="169" fontId="4" fillId="6" borderId="2" xfId="0" applyNumberFormat="1" applyFont="1" applyFill="1" applyBorder="1" applyAlignment="1">
      <alignment horizontal="center" vertical="center"/>
    </xf>
    <xf numFmtId="169" fontId="8" fillId="11" borderId="2" xfId="10" applyNumberFormat="1" applyFill="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8" fillId="10" borderId="2" xfId="10" applyNumberFormat="1" applyFill="1">
      <alignment horizontal="center" vertical="center"/>
    </xf>
    <xf numFmtId="169" fontId="8" fillId="0" borderId="2" xfId="10" applyNumberFormat="1">
      <alignment horizontal="center" vertical="center"/>
    </xf>
    <xf numFmtId="169" fontId="3" fillId="2" borderId="2" xfId="0" applyNumberFormat="1" applyFont="1" applyFill="1" applyBorder="1" applyAlignment="1">
      <alignment horizontal="left" vertical="center"/>
    </xf>
    <xf numFmtId="169" fontId="4" fillId="2" borderId="2" xfId="0" applyNumberFormat="1" applyFont="1" applyFill="1" applyBorder="1" applyAlignment="1">
      <alignment horizontal="center" vertical="center"/>
    </xf>
    <xf numFmtId="0" fontId="8" fillId="0" borderId="7" xfId="8" applyBorder="1">
      <alignment horizontal="right" indent="1"/>
    </xf>
    <xf numFmtId="0" fontId="5" fillId="45" borderId="2" xfId="0" applyFont="1" applyFill="1" applyBorder="1" applyAlignment="1">
      <alignment horizontal="left" vertical="center" indent="1"/>
    </xf>
    <xf numFmtId="9" fontId="4" fillId="45" borderId="2" xfId="2" applyFont="1" applyFill="1" applyBorder="1" applyAlignment="1">
      <alignment horizontal="center" vertical="center"/>
    </xf>
    <xf numFmtId="169" fontId="0" fillId="45" borderId="2" xfId="0" applyNumberFormat="1" applyFill="1" applyBorder="1" applyAlignment="1">
      <alignment horizontal="center" vertical="center"/>
    </xf>
    <xf numFmtId="169" fontId="4" fillId="45" borderId="2" xfId="0" applyNumberFormat="1" applyFont="1" applyFill="1" applyBorder="1" applyAlignment="1">
      <alignment horizontal="center" vertical="center"/>
    </xf>
    <xf numFmtId="0" fontId="8" fillId="46" borderId="2" xfId="12" applyFill="1">
      <alignment horizontal="left" vertical="center" indent="2"/>
    </xf>
    <xf numFmtId="9" fontId="4" fillId="46" borderId="2" xfId="2" applyFont="1" applyFill="1" applyBorder="1" applyAlignment="1">
      <alignment horizontal="center" vertical="center"/>
    </xf>
    <xf numFmtId="169" fontId="8" fillId="46" borderId="2" xfId="10" applyNumberFormat="1" applyFill="1">
      <alignment horizontal="center" vertical="center"/>
    </xf>
    <xf numFmtId="9" fontId="8" fillId="46" borderId="2" xfId="12" applyNumberFormat="1" applyFill="1">
      <alignment horizontal="left" vertical="center" indent="2"/>
    </xf>
    <xf numFmtId="0" fontId="0" fillId="0" borderId="0" xfId="0" quotePrefix="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left"/>
    </xf>
    <xf numFmtId="172" fontId="0" fillId="0" borderId="0" xfId="0" applyNumberFormat="1" applyAlignment="1">
      <alignment horizontal="center"/>
    </xf>
    <xf numFmtId="0" fontId="8" fillId="47" borderId="2" xfId="12" applyFill="1">
      <alignment horizontal="left" vertical="center" indent="2"/>
    </xf>
    <xf numFmtId="9" fontId="4" fillId="47" borderId="2" xfId="2" applyFont="1" applyFill="1" applyBorder="1" applyAlignment="1">
      <alignment horizontal="center" vertical="center"/>
    </xf>
    <xf numFmtId="169" fontId="8" fillId="47" borderId="2" xfId="10" applyNumberFormat="1" applyFill="1">
      <alignment horizontal="center" vertical="center"/>
    </xf>
    <xf numFmtId="0" fontId="0" fillId="49" borderId="0" xfId="0" applyFill="1"/>
    <xf numFmtId="0" fontId="0" fillId="50" borderId="0" xfId="0" applyFill="1"/>
    <xf numFmtId="0" fontId="18" fillId="50" borderId="0" xfId="0" applyFont="1" applyFill="1"/>
    <xf numFmtId="0" fontId="18" fillId="49" borderId="0" xfId="0" applyFont="1" applyFill="1"/>
    <xf numFmtId="0" fontId="30" fillId="49" borderId="0" xfId="0" applyFont="1" applyFill="1"/>
    <xf numFmtId="0" fontId="18" fillId="0" borderId="0" xfId="0" applyFont="1"/>
    <xf numFmtId="0" fontId="0" fillId="0" borderId="17" xfId="0" applyBorder="1" applyAlignment="1">
      <alignment vertical="center"/>
    </xf>
    <xf numFmtId="0" fontId="0" fillId="2" borderId="17" xfId="0" applyFill="1" applyBorder="1" applyAlignment="1">
      <alignment vertical="center"/>
    </xf>
    <xf numFmtId="0" fontId="0" fillId="0" borderId="18" xfId="0" applyBorder="1" applyAlignment="1">
      <alignment vertical="center"/>
    </xf>
    <xf numFmtId="0" fontId="0" fillId="2" borderId="18" xfId="0" applyFill="1" applyBorder="1" applyAlignment="1">
      <alignment vertical="center"/>
    </xf>
    <xf numFmtId="0" fontId="0" fillId="0" borderId="19" xfId="0" applyBorder="1" applyAlignment="1">
      <alignment vertical="center"/>
    </xf>
    <xf numFmtId="0" fontId="0" fillId="49" borderId="20" xfId="0" applyFill="1" applyBorder="1" applyAlignment="1">
      <alignment vertical="center"/>
    </xf>
    <xf numFmtId="0" fontId="0" fillId="51" borderId="0" xfId="0" applyFill="1"/>
    <xf numFmtId="0" fontId="34" fillId="49" borderId="0" xfId="0" applyFont="1" applyFill="1"/>
    <xf numFmtId="14"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14" fontId="0" fillId="0" borderId="0" xfId="0" applyNumberFormat="1"/>
    <xf numFmtId="171" fontId="33" fillId="7" borderId="6" xfId="0" applyNumberFormat="1" applyFont="1" applyFill="1" applyBorder="1" applyAlignment="1">
      <alignment horizontal="center" vertical="center"/>
    </xf>
    <xf numFmtId="171" fontId="33" fillId="7" borderId="0" xfId="0" applyNumberFormat="1" applyFont="1" applyFill="1" applyAlignment="1">
      <alignment horizontal="center" vertical="center"/>
    </xf>
    <xf numFmtId="171" fontId="33" fillId="7" borderId="7" xfId="0" applyNumberFormat="1" applyFont="1" applyFill="1" applyBorder="1" applyAlignment="1">
      <alignment horizontal="center" vertical="center"/>
    </xf>
    <xf numFmtId="0" fontId="0" fillId="0" borderId="0" xfId="0" applyBorder="1"/>
    <xf numFmtId="0" fontId="0" fillId="0" borderId="0" xfId="0" applyFill="1" applyBorder="1"/>
    <xf numFmtId="0" fontId="0" fillId="0" borderId="21" xfId="0" applyBorder="1"/>
    <xf numFmtId="170" fontId="0" fillId="7" borderId="4" xfId="0" applyNumberFormat="1" applyFill="1" applyBorder="1" applyAlignment="1">
      <alignment horizontal="left" vertical="center" wrapText="1" indent="1"/>
    </xf>
    <xf numFmtId="170" fontId="0" fillId="7" borderId="1" xfId="0" applyNumberFormat="1" applyFill="1" applyBorder="1" applyAlignment="1">
      <alignment horizontal="left" vertical="center" wrapText="1" indent="1"/>
    </xf>
    <xf numFmtId="170" fontId="0" fillId="7" borderId="5" xfId="0" applyNumberFormat="1" applyFill="1" applyBorder="1" applyAlignment="1">
      <alignment horizontal="left" vertical="center" wrapText="1" indent="1"/>
    </xf>
    <xf numFmtId="166" fontId="8" fillId="0" borderId="3" xfId="9" applyNumberFormat="1">
      <alignment horizontal="center" vertical="center"/>
    </xf>
    <xf numFmtId="0" fontId="9" fillId="48" borderId="10" xfId="0" applyFont="1" applyFill="1" applyBorder="1" applyAlignment="1">
      <alignment horizontal="center" vertical="center"/>
    </xf>
    <xf numFmtId="0" fontId="0" fillId="48" borderId="10" xfId="0" applyFill="1" applyBorder="1" applyAlignment="1">
      <alignment horizontal="center"/>
    </xf>
    <xf numFmtId="0" fontId="0" fillId="0" borderId="0" xfId="0" applyAlignment="1">
      <alignment horizontal="center" wrapText="1"/>
    </xf>
    <xf numFmtId="172" fontId="0" fillId="0" borderId="0" xfId="0" applyNumberFormat="1"/>
    <xf numFmtId="176" fontId="0" fillId="0" borderId="0" xfId="0" applyNumberFormat="1"/>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egin van het project" xfId="9" xr:uid="{8EB8A09A-C31C-40A3-B2C1-9449520178B8}"/>
    <cellStyle name="Berekening" xfId="23" builtinId="22" customBuiltin="1"/>
    <cellStyle name="Controlecel" xfId="25" builtinId="23" customBuiltin="1"/>
    <cellStyle name="Datum" xfId="10" xr:uid="{229918B6-DD13-4F5A-97B9-305F7E002AA3}"/>
    <cellStyle name="Gekoppelde cel" xfId="24" builtinId="24" customBuiltin="1"/>
    <cellStyle name="Gevolgde hyperlink" xfId="13" builtinId="9" customBuiltin="1"/>
    <cellStyle name="Goed" xfId="18" builtinId="26" customBuiltin="1"/>
    <cellStyle name="Hyperlink" xfId="1" builtinId="8" customBuiltin="1"/>
    <cellStyle name="Invoer" xfId="21" builtinId="20" customBuiltin="1"/>
    <cellStyle name="Komma" xfId="4" builtinId="3" customBuiltin="1"/>
    <cellStyle name="Komma [0]" xfId="14" builtinId="6" customBuiltin="1"/>
    <cellStyle name="Kop 1" xfId="6" builtinId="16" customBuiltin="1"/>
    <cellStyle name="Kop 2" xfId="7" builtinId="17" customBuiltin="1"/>
    <cellStyle name="Kop 3" xfId="8" builtinId="18" customBuiltin="1"/>
    <cellStyle name="Kop 4" xfId="17" builtinId="19" customBuiltin="1"/>
    <cellStyle name="Naam" xfId="11" xr:uid="{B2D3C1EE-6B41-4801-AAFC-C2274E49E503}"/>
    <cellStyle name="Neutraal" xfId="20" builtinId="28" customBuiltin="1"/>
    <cellStyle name="Notitie" xfId="27" builtinId="10" customBuiltin="1"/>
    <cellStyle name="Ongeldig" xfId="19" builtinId="27" customBuiltin="1"/>
    <cellStyle name="Procent" xfId="2" builtinId="5" customBuiltin="1"/>
    <cellStyle name="Standaard" xfId="0" builtinId="0" customBuiltin="1"/>
    <cellStyle name="Taak" xfId="12" xr:uid="{6391D789-272B-4DD2-9BF3-2CDCF610FA41}"/>
    <cellStyle name="Titel" xfId="5" builtinId="15" customBuiltin="1"/>
    <cellStyle name="Totaal" xfId="29" builtinId="25" customBuiltin="1"/>
    <cellStyle name="Uitvoer" xfId="22" builtinId="21" customBuiltin="1"/>
    <cellStyle name="Valuta" xfId="15" builtinId="4" customBuiltin="1"/>
    <cellStyle name="Valuta [0]" xfId="16" builtinId="7" customBuiltin="1"/>
    <cellStyle name="Verklarende tekst" xfId="28" builtinId="53" customBuiltin="1"/>
    <cellStyle name="Waarschuwingstekst" xfId="26" builtinId="11" customBuiltin="1"/>
    <cellStyle name="zHiddenText" xfId="3" xr:uid="{26E66EE6-E33F-4D77-BAE4-0FB4F5BBF673}"/>
  </cellStyles>
  <dxfs count="36">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akenlijst" pivot="0" count="9"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Berekeningen!$I$57:$I$71</c:f>
              <c:numCache>
                <c:formatCode>0.000</c:formatCode>
                <c:ptCount val="15"/>
                <c:pt idx="0">
                  <c:v>8.9285714285714377</c:v>
                </c:pt>
                <c:pt idx="1">
                  <c:v>6.4516129032258061</c:v>
                </c:pt>
                <c:pt idx="2">
                  <c:v>5</c:v>
                </c:pt>
                <c:pt idx="3">
                  <c:v>5</c:v>
                </c:pt>
                <c:pt idx="4">
                  <c:v>5.0251256281407022</c:v>
                </c:pt>
                <c:pt idx="5">
                  <c:v>5.0632911392405067</c:v>
                </c:pt>
                <c:pt idx="6">
                  <c:v>5.1282051282051286</c:v>
                </c:pt>
                <c:pt idx="7">
                  <c:v>5.0632911392405067</c:v>
                </c:pt>
                <c:pt idx="8">
                  <c:v>5.0890585241730282</c:v>
                </c:pt>
                <c:pt idx="9">
                  <c:v>5</c:v>
                </c:pt>
                <c:pt idx="10">
                  <c:v>5.1880674448767836</c:v>
                </c:pt>
                <c:pt idx="11">
                  <c:v>5.1413881748071981</c:v>
                </c:pt>
                <c:pt idx="12">
                  <c:v>5.1413881748071981</c:v>
                </c:pt>
                <c:pt idx="13">
                  <c:v>5.082592121982211</c:v>
                </c:pt>
                <c:pt idx="14">
                  <c:v>5.0568900126422252</c:v>
                </c:pt>
              </c:numCache>
            </c:numRef>
          </c:yVal>
          <c:smooth val="0"/>
          <c:extLst>
            <c:ext xmlns:c16="http://schemas.microsoft.com/office/drawing/2014/chart" uri="{C3380CC4-5D6E-409C-BE32-E72D297353CC}">
              <c16:uniqueId val="{00000000-6BFD-46F7-B510-DB2E57A8EE1C}"/>
            </c:ext>
          </c:extLst>
        </c:ser>
        <c:dLbls>
          <c:showLegendKey val="0"/>
          <c:showVal val="0"/>
          <c:showCatName val="0"/>
          <c:showSerName val="0"/>
          <c:showPercent val="0"/>
          <c:showBubbleSize val="0"/>
        </c:dLbls>
        <c:axId val="197318751"/>
        <c:axId val="197319231"/>
      </c:scatterChart>
      <c:valAx>
        <c:axId val="1973187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97319231"/>
        <c:crosses val="autoZero"/>
        <c:crossBetween val="midCat"/>
      </c:valAx>
      <c:valAx>
        <c:axId val="19731923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973187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12</xdr:col>
      <xdr:colOff>132523</xdr:colOff>
      <xdr:row>71</xdr:row>
      <xdr:rowOff>155712</xdr:rowOff>
    </xdr:from>
    <xdr:to>
      <xdr:col>19</xdr:col>
      <xdr:colOff>437323</xdr:colOff>
      <xdr:row>86</xdr:row>
      <xdr:rowOff>115955</xdr:rowOff>
    </xdr:to>
    <xdr:graphicFrame macro="">
      <xdr:nvGraphicFramePr>
        <xdr:cNvPr id="3" name="Grafiek 2">
          <a:extLst>
            <a:ext uri="{FF2B5EF4-FFF2-40B4-BE49-F238E27FC236}">
              <a16:creationId xmlns:a16="http://schemas.microsoft.com/office/drawing/2014/main" id="{BD0C36A7-1738-05B8-8E2C-16853B01C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Afbeelding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C78"/>
  <sheetViews>
    <sheetView showGridLines="0" showRuler="0" zoomScale="85" zoomScaleNormal="85" zoomScalePageLayoutView="70" workbookViewId="0">
      <pane ySplit="6" topLeftCell="A24" activePane="bottomLeft" state="frozen"/>
      <selection pane="bottomLeft" activeCell="D33" sqref="D33"/>
    </sheetView>
  </sheetViews>
  <sheetFormatPr defaultRowHeight="30" customHeight="1" x14ac:dyDescent="0.3"/>
  <cols>
    <col min="1" max="1" width="2.6640625" style="40" customWidth="1"/>
    <col min="2" max="2" width="46.5546875" customWidth="1"/>
    <col min="3" max="3" width="10.6640625" customWidth="1"/>
    <col min="4" max="4" width="10.44140625" style="4" customWidth="1"/>
    <col min="5" max="5" width="10.44140625" customWidth="1"/>
    <col min="6" max="6" width="2.6640625" customWidth="1"/>
    <col min="7" max="7" width="6.109375" hidden="1" customWidth="1"/>
    <col min="8" max="182" width="2.6640625" customWidth="1"/>
    <col min="187" max="188" width="10.33203125"/>
  </cols>
  <sheetData>
    <row r="1" spans="1:185" ht="30" customHeight="1" x14ac:dyDescent="0.55000000000000004">
      <c r="B1" s="43" t="s">
        <v>23</v>
      </c>
      <c r="C1" s="1"/>
      <c r="D1" s="3"/>
      <c r="E1" s="29"/>
      <c r="G1" s="1"/>
      <c r="H1" s="52" t="s">
        <v>6</v>
      </c>
      <c r="AH1" s="100" t="s">
        <v>54</v>
      </c>
      <c r="AI1" s="87"/>
      <c r="AJ1" s="87"/>
      <c r="AK1" s="87"/>
      <c r="AL1" s="87"/>
      <c r="AN1" s="89" t="s">
        <v>55</v>
      </c>
      <c r="AO1" s="89"/>
      <c r="AP1" s="89"/>
      <c r="AQ1" s="89"/>
      <c r="FC1" s="90" t="s">
        <v>59</v>
      </c>
      <c r="FD1" s="90"/>
      <c r="FE1" s="90"/>
      <c r="FF1" s="90"/>
      <c r="FG1" s="90"/>
      <c r="FH1" s="87"/>
      <c r="GC1" s="92">
        <v>1</v>
      </c>
    </row>
    <row r="2" spans="1:185" ht="16.8" customHeight="1" x14ac:dyDescent="0.35">
      <c r="B2" s="44" t="s">
        <v>21</v>
      </c>
      <c r="H2" s="53" t="s">
        <v>7</v>
      </c>
      <c r="CA2" s="91" t="s">
        <v>57</v>
      </c>
      <c r="CG2" s="90" t="s">
        <v>60</v>
      </c>
      <c r="CH2" s="90"/>
      <c r="CI2" s="90"/>
      <c r="CJ2" s="90"/>
      <c r="CK2" s="90"/>
      <c r="EZ2" s="91" t="s">
        <v>57</v>
      </c>
      <c r="FC2" s="87"/>
      <c r="FF2" s="90" t="s">
        <v>58</v>
      </c>
      <c r="FG2" s="90"/>
      <c r="FH2" s="90"/>
      <c r="FI2" s="90"/>
      <c r="FJ2" s="90"/>
      <c r="FK2" s="87"/>
      <c r="FL2" s="87"/>
      <c r="FM2" s="87"/>
      <c r="GC2" s="92">
        <v>1</v>
      </c>
    </row>
    <row r="3" spans="1:185" ht="17.399999999999999" customHeight="1" x14ac:dyDescent="0.3">
      <c r="B3" s="45" t="s">
        <v>22</v>
      </c>
      <c r="C3" s="70"/>
      <c r="D3" s="114">
        <f>DATE(2025, 9, 1)</f>
        <v>45901</v>
      </c>
      <c r="E3" s="114"/>
      <c r="P3" s="88"/>
      <c r="AF3" s="88"/>
      <c r="AR3" s="88"/>
      <c r="AY3" s="87"/>
      <c r="BM3" s="88"/>
      <c r="BN3" s="87"/>
      <c r="BO3" s="115" t="s">
        <v>53</v>
      </c>
      <c r="BP3" s="115"/>
      <c r="BQ3" s="115"/>
      <c r="BR3" s="115"/>
      <c r="BS3" s="115"/>
      <c r="BT3" s="115"/>
      <c r="BU3" s="115"/>
      <c r="BV3" s="115"/>
      <c r="BW3" s="115"/>
      <c r="BX3" s="115"/>
      <c r="BY3" s="115"/>
      <c r="CA3" s="88"/>
      <c r="CG3" s="87"/>
      <c r="CO3" s="88"/>
      <c r="DC3" s="88"/>
      <c r="DP3" s="116" t="s">
        <v>56</v>
      </c>
      <c r="DQ3" s="116"/>
      <c r="DR3" s="116"/>
      <c r="DS3" s="116"/>
      <c r="DT3" s="116"/>
      <c r="DU3" s="116"/>
      <c r="DV3" s="116"/>
      <c r="DW3" s="116"/>
      <c r="DX3" s="116"/>
      <c r="DY3" s="116"/>
      <c r="DZ3" s="116"/>
      <c r="EA3" s="116"/>
      <c r="EB3" s="116"/>
      <c r="EC3" s="116"/>
      <c r="EZ3" s="88"/>
      <c r="FC3" s="87"/>
      <c r="FF3" s="87"/>
      <c r="GC3" s="92">
        <v>1</v>
      </c>
    </row>
    <row r="4" spans="1:185" ht="18" customHeight="1" x14ac:dyDescent="0.3">
      <c r="C4" s="70"/>
      <c r="D4" s="6">
        <v>1</v>
      </c>
      <c r="H4" s="111">
        <f>H5</f>
        <v>45901</v>
      </c>
      <c r="I4" s="112"/>
      <c r="J4" s="112"/>
      <c r="K4" s="112"/>
      <c r="L4" s="112"/>
      <c r="M4" s="112"/>
      <c r="N4" s="113"/>
      <c r="O4" s="111">
        <f>O5</f>
        <v>45908</v>
      </c>
      <c r="P4" s="112"/>
      <c r="Q4" s="112"/>
      <c r="R4" s="112"/>
      <c r="S4" s="112"/>
      <c r="T4" s="112"/>
      <c r="U4" s="113"/>
      <c r="V4" s="111">
        <f>V5</f>
        <v>45915</v>
      </c>
      <c r="W4" s="112"/>
      <c r="X4" s="112"/>
      <c r="Y4" s="112"/>
      <c r="Z4" s="112"/>
      <c r="AA4" s="112"/>
      <c r="AB4" s="113"/>
      <c r="AC4" s="111">
        <f>AC5</f>
        <v>45922</v>
      </c>
      <c r="AD4" s="112"/>
      <c r="AE4" s="112"/>
      <c r="AF4" s="112"/>
      <c r="AG4" s="112"/>
      <c r="AH4" s="112"/>
      <c r="AI4" s="113"/>
      <c r="AJ4" s="111">
        <f>AJ5</f>
        <v>45929</v>
      </c>
      <c r="AK4" s="112"/>
      <c r="AL4" s="112"/>
      <c r="AM4" s="112"/>
      <c r="AN4" s="112"/>
      <c r="AO4" s="112"/>
      <c r="AP4" s="113"/>
      <c r="AQ4" s="111">
        <f>AQ5</f>
        <v>45936</v>
      </c>
      <c r="AR4" s="112"/>
      <c r="AS4" s="112"/>
      <c r="AT4" s="112"/>
      <c r="AU4" s="112"/>
      <c r="AV4" s="112"/>
      <c r="AW4" s="113"/>
      <c r="AX4" s="111">
        <f>AX5</f>
        <v>45943</v>
      </c>
      <c r="AY4" s="112"/>
      <c r="AZ4" s="112"/>
      <c r="BA4" s="112"/>
      <c r="BB4" s="112"/>
      <c r="BC4" s="112"/>
      <c r="BD4" s="113"/>
      <c r="BE4" s="111">
        <f>BE5</f>
        <v>45950</v>
      </c>
      <c r="BF4" s="112"/>
      <c r="BG4" s="112"/>
      <c r="BH4" s="112"/>
      <c r="BI4" s="112"/>
      <c r="BJ4" s="112"/>
      <c r="BK4" s="113"/>
      <c r="BL4" s="111">
        <f>BL5</f>
        <v>45957</v>
      </c>
      <c r="BM4" s="112"/>
      <c r="BN4" s="112"/>
      <c r="BO4" s="112"/>
      <c r="BP4" s="112"/>
      <c r="BQ4" s="112"/>
      <c r="BR4" s="113"/>
      <c r="BS4" s="111">
        <f>BS5</f>
        <v>45964</v>
      </c>
      <c r="BT4" s="112"/>
      <c r="BU4" s="112"/>
      <c r="BV4" s="112"/>
      <c r="BW4" s="112"/>
      <c r="BX4" s="112"/>
      <c r="BY4" s="113"/>
      <c r="BZ4" s="111">
        <f>BZ5</f>
        <v>45971</v>
      </c>
      <c r="CA4" s="112"/>
      <c r="CB4" s="112"/>
      <c r="CC4" s="112"/>
      <c r="CD4" s="112"/>
      <c r="CE4" s="112"/>
      <c r="CF4" s="113"/>
      <c r="CG4" s="111">
        <f>CG5</f>
        <v>45978</v>
      </c>
      <c r="CH4" s="112"/>
      <c r="CI4" s="112"/>
      <c r="CJ4" s="112"/>
      <c r="CK4" s="112"/>
      <c r="CL4" s="112"/>
      <c r="CM4" s="113"/>
      <c r="CN4" s="111">
        <f>CN5</f>
        <v>45985</v>
      </c>
      <c r="CO4" s="112"/>
      <c r="CP4" s="112"/>
      <c r="CQ4" s="112"/>
      <c r="CR4" s="112"/>
      <c r="CS4" s="112"/>
      <c r="CT4" s="113"/>
      <c r="CU4" s="111">
        <f>CU5</f>
        <v>45992</v>
      </c>
      <c r="CV4" s="112"/>
      <c r="CW4" s="112"/>
      <c r="CX4" s="112"/>
      <c r="CY4" s="112"/>
      <c r="CZ4" s="112"/>
      <c r="DA4" s="113"/>
      <c r="DB4" s="111">
        <f t="shared" ref="DB4" si="0">DB5</f>
        <v>45999</v>
      </c>
      <c r="DC4" s="112"/>
      <c r="DD4" s="112"/>
      <c r="DE4" s="112"/>
      <c r="DF4" s="112"/>
      <c r="DG4" s="112"/>
      <c r="DH4" s="113"/>
      <c r="DI4" s="111">
        <f t="shared" ref="DI4" si="1">DI5</f>
        <v>46006</v>
      </c>
      <c r="DJ4" s="112"/>
      <c r="DK4" s="112"/>
      <c r="DL4" s="112"/>
      <c r="DM4" s="112"/>
      <c r="DN4" s="112"/>
      <c r="DO4" s="113"/>
      <c r="DP4" s="111">
        <f t="shared" ref="DP4" si="2">DP5</f>
        <v>46013</v>
      </c>
      <c r="DQ4" s="112"/>
      <c r="DR4" s="112"/>
      <c r="DS4" s="112"/>
      <c r="DT4" s="112"/>
      <c r="DU4" s="112"/>
      <c r="DV4" s="113"/>
      <c r="DW4" s="111">
        <f t="shared" ref="DW4" si="3">DW5</f>
        <v>46020</v>
      </c>
      <c r="DX4" s="112"/>
      <c r="DY4" s="112"/>
      <c r="DZ4" s="112"/>
      <c r="EA4" s="112"/>
      <c r="EB4" s="112"/>
      <c r="EC4" s="113"/>
      <c r="ED4" s="111">
        <f t="shared" ref="ED4" si="4">ED5</f>
        <v>46027</v>
      </c>
      <c r="EE4" s="112"/>
      <c r="EF4" s="112"/>
      <c r="EG4" s="112"/>
      <c r="EH4" s="112"/>
      <c r="EI4" s="112"/>
      <c r="EJ4" s="113"/>
      <c r="EK4" s="111">
        <f t="shared" ref="EK4" si="5">EK5</f>
        <v>46034</v>
      </c>
      <c r="EL4" s="112"/>
      <c r="EM4" s="112"/>
      <c r="EN4" s="112"/>
      <c r="EO4" s="112"/>
      <c r="EP4" s="112"/>
      <c r="EQ4" s="113"/>
      <c r="ER4" s="111">
        <f t="shared" ref="ER4" si="6">ER5</f>
        <v>46041</v>
      </c>
      <c r="ES4" s="112"/>
      <c r="ET4" s="112"/>
      <c r="EU4" s="112"/>
      <c r="EV4" s="112"/>
      <c r="EW4" s="112"/>
      <c r="EX4" s="113"/>
      <c r="EY4" s="111">
        <f t="shared" ref="EY4" si="7">EY5</f>
        <v>46048</v>
      </c>
      <c r="EZ4" s="112"/>
      <c r="FA4" s="112"/>
      <c r="FB4" s="112"/>
      <c r="FC4" s="112"/>
      <c r="FD4" s="112"/>
      <c r="FE4" s="113"/>
      <c r="FF4" s="111">
        <f t="shared" ref="FF4" si="8">FF5</f>
        <v>46055</v>
      </c>
      <c r="FG4" s="112"/>
      <c r="FH4" s="112"/>
      <c r="FI4" s="112"/>
      <c r="FJ4" s="112"/>
      <c r="FK4" s="112"/>
      <c r="FL4" s="113"/>
      <c r="FM4" s="111">
        <f t="shared" ref="FM4" si="9">FM5</f>
        <v>46062</v>
      </c>
      <c r="FN4" s="112"/>
      <c r="FO4" s="112"/>
      <c r="FP4" s="112"/>
      <c r="FQ4" s="112"/>
      <c r="FR4" s="112"/>
      <c r="FS4" s="113"/>
      <c r="FT4" s="111">
        <f t="shared" ref="FT4" si="10">FT5</f>
        <v>46069</v>
      </c>
      <c r="FU4" s="112"/>
      <c r="FV4" s="112"/>
      <c r="FW4" s="112"/>
      <c r="FX4" s="112"/>
      <c r="FY4" s="112"/>
      <c r="FZ4" s="113"/>
      <c r="GC4" s="92">
        <v>1</v>
      </c>
    </row>
    <row r="5" spans="1:185" ht="15" customHeight="1" x14ac:dyDescent="0.3">
      <c r="B5" s="51"/>
      <c r="C5" s="51"/>
      <c r="D5" s="51"/>
      <c r="E5" s="51"/>
      <c r="F5" s="51"/>
      <c r="H5" s="105">
        <f>Begin_project-WEEKDAY(Begin_project,1)+2+7*(Weergegeven_week-1)</f>
        <v>45901</v>
      </c>
      <c r="I5" s="106">
        <f>H5+1</f>
        <v>45902</v>
      </c>
      <c r="J5" s="106">
        <f t="shared" ref="J5:AW5" si="11">I5+1</f>
        <v>45903</v>
      </c>
      <c r="K5" s="106">
        <f t="shared" si="11"/>
        <v>45904</v>
      </c>
      <c r="L5" s="106">
        <f t="shared" si="11"/>
        <v>45905</v>
      </c>
      <c r="M5" s="106">
        <f t="shared" si="11"/>
        <v>45906</v>
      </c>
      <c r="N5" s="107">
        <f t="shared" si="11"/>
        <v>45907</v>
      </c>
      <c r="O5" s="105">
        <f>N5+1</f>
        <v>45908</v>
      </c>
      <c r="P5" s="106">
        <f>O5+1</f>
        <v>45909</v>
      </c>
      <c r="Q5" s="106">
        <f t="shared" si="11"/>
        <v>45910</v>
      </c>
      <c r="R5" s="106">
        <f t="shared" si="11"/>
        <v>45911</v>
      </c>
      <c r="S5" s="106">
        <f t="shared" si="11"/>
        <v>45912</v>
      </c>
      <c r="T5" s="106">
        <f t="shared" si="11"/>
        <v>45913</v>
      </c>
      <c r="U5" s="107">
        <f t="shared" si="11"/>
        <v>45914</v>
      </c>
      <c r="V5" s="105">
        <f>U5+1</f>
        <v>45915</v>
      </c>
      <c r="W5" s="106">
        <f>V5+1</f>
        <v>45916</v>
      </c>
      <c r="X5" s="106">
        <f t="shared" si="11"/>
        <v>45917</v>
      </c>
      <c r="Y5" s="106">
        <f t="shared" si="11"/>
        <v>45918</v>
      </c>
      <c r="Z5" s="106">
        <f t="shared" si="11"/>
        <v>45919</v>
      </c>
      <c r="AA5" s="106">
        <f t="shared" si="11"/>
        <v>45920</v>
      </c>
      <c r="AB5" s="107">
        <f t="shared" si="11"/>
        <v>45921</v>
      </c>
      <c r="AC5" s="105">
        <f>AB5+1</f>
        <v>45922</v>
      </c>
      <c r="AD5" s="106">
        <f>AC5+1</f>
        <v>45923</v>
      </c>
      <c r="AE5" s="106">
        <f t="shared" si="11"/>
        <v>45924</v>
      </c>
      <c r="AF5" s="106">
        <f t="shared" si="11"/>
        <v>45925</v>
      </c>
      <c r="AG5" s="106">
        <f t="shared" si="11"/>
        <v>45926</v>
      </c>
      <c r="AH5" s="106">
        <f t="shared" si="11"/>
        <v>45927</v>
      </c>
      <c r="AI5" s="107">
        <f t="shared" si="11"/>
        <v>45928</v>
      </c>
      <c r="AJ5" s="105">
        <f>AI5+1</f>
        <v>45929</v>
      </c>
      <c r="AK5" s="106">
        <f>AJ5+1</f>
        <v>45930</v>
      </c>
      <c r="AL5" s="106">
        <f t="shared" si="11"/>
        <v>45931</v>
      </c>
      <c r="AM5" s="106">
        <f t="shared" si="11"/>
        <v>45932</v>
      </c>
      <c r="AN5" s="106">
        <f t="shared" si="11"/>
        <v>45933</v>
      </c>
      <c r="AO5" s="106">
        <f t="shared" si="11"/>
        <v>45934</v>
      </c>
      <c r="AP5" s="107">
        <f t="shared" si="11"/>
        <v>45935</v>
      </c>
      <c r="AQ5" s="105">
        <f>AP5+1</f>
        <v>45936</v>
      </c>
      <c r="AR5" s="106">
        <f>AQ5+1</f>
        <v>45937</v>
      </c>
      <c r="AS5" s="106">
        <f t="shared" si="11"/>
        <v>45938</v>
      </c>
      <c r="AT5" s="106">
        <f t="shared" si="11"/>
        <v>45939</v>
      </c>
      <c r="AU5" s="106">
        <f t="shared" si="11"/>
        <v>45940</v>
      </c>
      <c r="AV5" s="106">
        <f t="shared" si="11"/>
        <v>45941</v>
      </c>
      <c r="AW5" s="107">
        <f t="shared" si="11"/>
        <v>45942</v>
      </c>
      <c r="AX5" s="105">
        <f>AW5+1</f>
        <v>45943</v>
      </c>
      <c r="AY5" s="106">
        <f>AX5+1</f>
        <v>45944</v>
      </c>
      <c r="AZ5" s="106">
        <f t="shared" ref="AZ5:BD5" si="12">AY5+1</f>
        <v>45945</v>
      </c>
      <c r="BA5" s="106">
        <f t="shared" si="12"/>
        <v>45946</v>
      </c>
      <c r="BB5" s="106">
        <f t="shared" si="12"/>
        <v>45947</v>
      </c>
      <c r="BC5" s="106">
        <f t="shared" si="12"/>
        <v>45948</v>
      </c>
      <c r="BD5" s="107">
        <f t="shared" si="12"/>
        <v>45949</v>
      </c>
      <c r="BE5" s="105">
        <f>BD5+1</f>
        <v>45950</v>
      </c>
      <c r="BF5" s="106">
        <f>BE5+1</f>
        <v>45951</v>
      </c>
      <c r="BG5" s="106">
        <f t="shared" ref="BG5" si="13">BF5+1</f>
        <v>45952</v>
      </c>
      <c r="BH5" s="106">
        <f t="shared" ref="BH5" si="14">BG5+1</f>
        <v>45953</v>
      </c>
      <c r="BI5" s="106">
        <f t="shared" ref="BI5" si="15">BH5+1</f>
        <v>45954</v>
      </c>
      <c r="BJ5" s="106">
        <f t="shared" ref="BJ5" si="16">BI5+1</f>
        <v>45955</v>
      </c>
      <c r="BK5" s="107">
        <f t="shared" ref="BK5" si="17">BJ5+1</f>
        <v>45956</v>
      </c>
      <c r="BL5" s="105">
        <f>BK5+1</f>
        <v>45957</v>
      </c>
      <c r="BM5" s="106">
        <f>BL5+1</f>
        <v>45958</v>
      </c>
      <c r="BN5" s="106">
        <f t="shared" ref="BN5" si="18">BM5+1</f>
        <v>45959</v>
      </c>
      <c r="BO5" s="106">
        <f t="shared" ref="BO5" si="19">BN5+1</f>
        <v>45960</v>
      </c>
      <c r="BP5" s="106">
        <f t="shared" ref="BP5" si="20">BO5+1</f>
        <v>45961</v>
      </c>
      <c r="BQ5" s="106">
        <f t="shared" ref="BQ5" si="21">BP5+1</f>
        <v>45962</v>
      </c>
      <c r="BR5" s="107">
        <f t="shared" ref="BR5" si="22">BQ5+1</f>
        <v>45963</v>
      </c>
      <c r="BS5" s="105">
        <f>BR5+1</f>
        <v>45964</v>
      </c>
      <c r="BT5" s="106">
        <f>BS5+1</f>
        <v>45965</v>
      </c>
      <c r="BU5" s="106">
        <f t="shared" ref="BU5" si="23">BT5+1</f>
        <v>45966</v>
      </c>
      <c r="BV5" s="106">
        <f t="shared" ref="BV5" si="24">BU5+1</f>
        <v>45967</v>
      </c>
      <c r="BW5" s="106">
        <f t="shared" ref="BW5" si="25">BV5+1</f>
        <v>45968</v>
      </c>
      <c r="BX5" s="106">
        <f t="shared" ref="BX5" si="26">BW5+1</f>
        <v>45969</v>
      </c>
      <c r="BY5" s="107">
        <f t="shared" ref="BY5" si="27">BX5+1</f>
        <v>45970</v>
      </c>
      <c r="BZ5" s="105">
        <f>BY5+1</f>
        <v>45971</v>
      </c>
      <c r="CA5" s="106">
        <f>BZ5+1</f>
        <v>45972</v>
      </c>
      <c r="CB5" s="106">
        <f t="shared" ref="CB5" si="28">CA5+1</f>
        <v>45973</v>
      </c>
      <c r="CC5" s="106">
        <f t="shared" ref="CC5" si="29">CB5+1</f>
        <v>45974</v>
      </c>
      <c r="CD5" s="106">
        <f t="shared" ref="CD5" si="30">CC5+1</f>
        <v>45975</v>
      </c>
      <c r="CE5" s="106">
        <f t="shared" ref="CE5" si="31">CD5+1</f>
        <v>45976</v>
      </c>
      <c r="CF5" s="107">
        <f t="shared" ref="CF5" si="32">CE5+1</f>
        <v>45977</v>
      </c>
      <c r="CG5" s="105">
        <f>CF5+1</f>
        <v>45978</v>
      </c>
      <c r="CH5" s="106">
        <f>CG5+1</f>
        <v>45979</v>
      </c>
      <c r="CI5" s="106">
        <f t="shared" ref="CI5" si="33">CH5+1</f>
        <v>45980</v>
      </c>
      <c r="CJ5" s="106">
        <f t="shared" ref="CJ5" si="34">CI5+1</f>
        <v>45981</v>
      </c>
      <c r="CK5" s="106">
        <f t="shared" ref="CK5" si="35">CJ5+1</f>
        <v>45982</v>
      </c>
      <c r="CL5" s="106">
        <f t="shared" ref="CL5" si="36">CK5+1</f>
        <v>45983</v>
      </c>
      <c r="CM5" s="107">
        <f t="shared" ref="CM5" si="37">CL5+1</f>
        <v>45984</v>
      </c>
      <c r="CN5" s="105">
        <f>CM5+1</f>
        <v>45985</v>
      </c>
      <c r="CO5" s="106">
        <f>CN5+1</f>
        <v>45986</v>
      </c>
      <c r="CP5" s="106">
        <f t="shared" ref="CP5" si="38">CO5+1</f>
        <v>45987</v>
      </c>
      <c r="CQ5" s="106">
        <f t="shared" ref="CQ5" si="39">CP5+1</f>
        <v>45988</v>
      </c>
      <c r="CR5" s="106">
        <f t="shared" ref="CR5" si="40">CQ5+1</f>
        <v>45989</v>
      </c>
      <c r="CS5" s="106">
        <f t="shared" ref="CS5" si="41">CR5+1</f>
        <v>45990</v>
      </c>
      <c r="CT5" s="107">
        <f t="shared" ref="CT5" si="42">CS5+1</f>
        <v>45991</v>
      </c>
      <c r="CU5" s="105">
        <f>CT5+1</f>
        <v>45992</v>
      </c>
      <c r="CV5" s="106">
        <f>CU5+1</f>
        <v>45993</v>
      </c>
      <c r="CW5" s="106">
        <f t="shared" ref="CW5" si="43">CV5+1</f>
        <v>45994</v>
      </c>
      <c r="CX5" s="106">
        <f t="shared" ref="CX5" si="44">CW5+1</f>
        <v>45995</v>
      </c>
      <c r="CY5" s="106">
        <f t="shared" ref="CY5" si="45">CX5+1</f>
        <v>45996</v>
      </c>
      <c r="CZ5" s="106">
        <f t="shared" ref="CZ5" si="46">CY5+1</f>
        <v>45997</v>
      </c>
      <c r="DA5" s="107">
        <f t="shared" ref="DA5:DC5" si="47">CZ5+1</f>
        <v>45998</v>
      </c>
      <c r="DB5" s="105">
        <f t="shared" si="47"/>
        <v>45999</v>
      </c>
      <c r="DC5" s="106">
        <f t="shared" si="47"/>
        <v>46000</v>
      </c>
      <c r="DD5" s="106">
        <f t="shared" ref="DD5" si="48">DC5+1</f>
        <v>46001</v>
      </c>
      <c r="DE5" s="106">
        <f t="shared" ref="DE5" si="49">DD5+1</f>
        <v>46002</v>
      </c>
      <c r="DF5" s="106">
        <f t="shared" ref="DF5" si="50">DE5+1</f>
        <v>46003</v>
      </c>
      <c r="DG5" s="106">
        <f t="shared" ref="DG5" si="51">DF5+1</f>
        <v>46004</v>
      </c>
      <c r="DH5" s="107">
        <f t="shared" ref="DH5:DJ5" si="52">DG5+1</f>
        <v>46005</v>
      </c>
      <c r="DI5" s="105">
        <f t="shared" si="52"/>
        <v>46006</v>
      </c>
      <c r="DJ5" s="106">
        <f t="shared" si="52"/>
        <v>46007</v>
      </c>
      <c r="DK5" s="106">
        <f t="shared" ref="DK5" si="53">DJ5+1</f>
        <v>46008</v>
      </c>
      <c r="DL5" s="106">
        <f t="shared" ref="DL5" si="54">DK5+1</f>
        <v>46009</v>
      </c>
      <c r="DM5" s="106">
        <f t="shared" ref="DM5" si="55">DL5+1</f>
        <v>46010</v>
      </c>
      <c r="DN5" s="106">
        <f t="shared" ref="DN5" si="56">DM5+1</f>
        <v>46011</v>
      </c>
      <c r="DO5" s="107">
        <f t="shared" ref="DO5:DQ5" si="57">DN5+1</f>
        <v>46012</v>
      </c>
      <c r="DP5" s="105">
        <f t="shared" si="57"/>
        <v>46013</v>
      </c>
      <c r="DQ5" s="106">
        <f t="shared" si="57"/>
        <v>46014</v>
      </c>
      <c r="DR5" s="106">
        <f t="shared" ref="DR5" si="58">DQ5+1</f>
        <v>46015</v>
      </c>
      <c r="DS5" s="106">
        <f t="shared" ref="DS5" si="59">DR5+1</f>
        <v>46016</v>
      </c>
      <c r="DT5" s="106">
        <f t="shared" ref="DT5" si="60">DS5+1</f>
        <v>46017</v>
      </c>
      <c r="DU5" s="106">
        <f t="shared" ref="DU5" si="61">DT5+1</f>
        <v>46018</v>
      </c>
      <c r="DV5" s="107">
        <f t="shared" ref="DV5:DX5" si="62">DU5+1</f>
        <v>46019</v>
      </c>
      <c r="DW5" s="105">
        <f t="shared" si="62"/>
        <v>46020</v>
      </c>
      <c r="DX5" s="106">
        <f t="shared" si="62"/>
        <v>46021</v>
      </c>
      <c r="DY5" s="106">
        <f t="shared" ref="DY5" si="63">DX5+1</f>
        <v>46022</v>
      </c>
      <c r="DZ5" s="106">
        <f t="shared" ref="DZ5" si="64">DY5+1</f>
        <v>46023</v>
      </c>
      <c r="EA5" s="106">
        <f t="shared" ref="EA5" si="65">DZ5+1</f>
        <v>46024</v>
      </c>
      <c r="EB5" s="106">
        <f t="shared" ref="EB5" si="66">EA5+1</f>
        <v>46025</v>
      </c>
      <c r="EC5" s="107">
        <f t="shared" ref="EC5:EE5" si="67">EB5+1</f>
        <v>46026</v>
      </c>
      <c r="ED5" s="105">
        <f t="shared" si="67"/>
        <v>46027</v>
      </c>
      <c r="EE5" s="106">
        <f t="shared" si="67"/>
        <v>46028</v>
      </c>
      <c r="EF5" s="106">
        <f t="shared" ref="EF5" si="68">EE5+1</f>
        <v>46029</v>
      </c>
      <c r="EG5" s="106">
        <f t="shared" ref="EG5" si="69">EF5+1</f>
        <v>46030</v>
      </c>
      <c r="EH5" s="106">
        <f t="shared" ref="EH5" si="70">EG5+1</f>
        <v>46031</v>
      </c>
      <c r="EI5" s="106">
        <f t="shared" ref="EI5" si="71">EH5+1</f>
        <v>46032</v>
      </c>
      <c r="EJ5" s="107">
        <f t="shared" ref="EJ5" si="72">EI5+1</f>
        <v>46033</v>
      </c>
      <c r="EK5" s="105">
        <f t="shared" ref="EK5" si="73">EJ5+1</f>
        <v>46034</v>
      </c>
      <c r="EL5" s="106">
        <f t="shared" ref="EL5" si="74">EK5+1</f>
        <v>46035</v>
      </c>
      <c r="EM5" s="106">
        <f t="shared" ref="EM5" si="75">EL5+1</f>
        <v>46036</v>
      </c>
      <c r="EN5" s="106">
        <f t="shared" ref="EN5" si="76">EM5+1</f>
        <v>46037</v>
      </c>
      <c r="EO5" s="106">
        <f t="shared" ref="EO5" si="77">EN5+1</f>
        <v>46038</v>
      </c>
      <c r="EP5" s="106">
        <f t="shared" ref="EP5" si="78">EO5+1</f>
        <v>46039</v>
      </c>
      <c r="EQ5" s="107">
        <f t="shared" ref="EQ5" si="79">EP5+1</f>
        <v>46040</v>
      </c>
      <c r="ER5" s="105">
        <f t="shared" ref="ER5" si="80">EQ5+1</f>
        <v>46041</v>
      </c>
      <c r="ES5" s="106">
        <f t="shared" ref="ES5" si="81">ER5+1</f>
        <v>46042</v>
      </c>
      <c r="ET5" s="106">
        <f t="shared" ref="ET5" si="82">ES5+1</f>
        <v>46043</v>
      </c>
      <c r="EU5" s="106">
        <f t="shared" ref="EU5" si="83">ET5+1</f>
        <v>46044</v>
      </c>
      <c r="EV5" s="106">
        <f t="shared" ref="EV5" si="84">EU5+1</f>
        <v>46045</v>
      </c>
      <c r="EW5" s="106">
        <f t="shared" ref="EW5" si="85">EV5+1</f>
        <v>46046</v>
      </c>
      <c r="EX5" s="107">
        <f t="shared" ref="EX5" si="86">EW5+1</f>
        <v>46047</v>
      </c>
      <c r="EY5" s="105">
        <f t="shared" ref="EY5" si="87">EX5+1</f>
        <v>46048</v>
      </c>
      <c r="EZ5" s="106">
        <f t="shared" ref="EZ5" si="88">EY5+1</f>
        <v>46049</v>
      </c>
      <c r="FA5" s="106">
        <f t="shared" ref="FA5" si="89">EZ5+1</f>
        <v>46050</v>
      </c>
      <c r="FB5" s="106">
        <f t="shared" ref="FB5" si="90">FA5+1</f>
        <v>46051</v>
      </c>
      <c r="FC5" s="106">
        <f t="shared" ref="FC5" si="91">FB5+1</f>
        <v>46052</v>
      </c>
      <c r="FD5" s="106">
        <f t="shared" ref="FD5" si="92">FC5+1</f>
        <v>46053</v>
      </c>
      <c r="FE5" s="107">
        <f t="shared" ref="FE5" si="93">FD5+1</f>
        <v>46054</v>
      </c>
      <c r="FF5" s="105">
        <f t="shared" ref="FF5" si="94">FE5+1</f>
        <v>46055</v>
      </c>
      <c r="FG5" s="106">
        <f t="shared" ref="FG5" si="95">FF5+1</f>
        <v>46056</v>
      </c>
      <c r="FH5" s="106">
        <f t="shared" ref="FH5" si="96">FG5+1</f>
        <v>46057</v>
      </c>
      <c r="FI5" s="106">
        <f t="shared" ref="FI5" si="97">FH5+1</f>
        <v>46058</v>
      </c>
      <c r="FJ5" s="106">
        <f t="shared" ref="FJ5" si="98">FI5+1</f>
        <v>46059</v>
      </c>
      <c r="FK5" s="106">
        <f t="shared" ref="FK5" si="99">FJ5+1</f>
        <v>46060</v>
      </c>
      <c r="FL5" s="107">
        <f t="shared" ref="FL5" si="100">FK5+1</f>
        <v>46061</v>
      </c>
      <c r="FM5" s="105">
        <f t="shared" ref="FM5" si="101">FL5+1</f>
        <v>46062</v>
      </c>
      <c r="FN5" s="106">
        <f t="shared" ref="FN5" si="102">FM5+1</f>
        <v>46063</v>
      </c>
      <c r="FO5" s="106">
        <f t="shared" ref="FO5" si="103">FN5+1</f>
        <v>46064</v>
      </c>
      <c r="FP5" s="106">
        <f t="shared" ref="FP5" si="104">FO5+1</f>
        <v>46065</v>
      </c>
      <c r="FQ5" s="106">
        <f t="shared" ref="FQ5" si="105">FP5+1</f>
        <v>46066</v>
      </c>
      <c r="FR5" s="106">
        <f t="shared" ref="FR5" si="106">FQ5+1</f>
        <v>46067</v>
      </c>
      <c r="FS5" s="107">
        <f t="shared" ref="FS5" si="107">FR5+1</f>
        <v>46068</v>
      </c>
      <c r="FT5" s="105">
        <f t="shared" ref="FT5" si="108">FS5+1</f>
        <v>46069</v>
      </c>
      <c r="FU5" s="106">
        <f t="shared" ref="FU5" si="109">FT5+1</f>
        <v>46070</v>
      </c>
      <c r="FV5" s="106">
        <f t="shared" ref="FV5" si="110">FU5+1</f>
        <v>46071</v>
      </c>
      <c r="FW5" s="106">
        <f t="shared" ref="FW5" si="111">FV5+1</f>
        <v>46072</v>
      </c>
      <c r="FX5" s="106">
        <f t="shared" ref="FX5" si="112">FW5+1</f>
        <v>46073</v>
      </c>
      <c r="FY5" s="106">
        <f t="shared" ref="FY5" si="113">FX5+1</f>
        <v>46074</v>
      </c>
      <c r="FZ5" s="107">
        <f t="shared" ref="FZ5" si="114">FY5+1</f>
        <v>46075</v>
      </c>
      <c r="GC5" s="92">
        <v>1</v>
      </c>
    </row>
    <row r="6" spans="1:185" ht="30" customHeight="1" thickBot="1" x14ac:dyDescent="0.35">
      <c r="B6" s="7" t="s">
        <v>0</v>
      </c>
      <c r="C6" s="8" t="s">
        <v>2</v>
      </c>
      <c r="D6" s="8" t="s">
        <v>3</v>
      </c>
      <c r="E6" s="8" t="s">
        <v>4</v>
      </c>
      <c r="F6" s="8"/>
      <c r="G6" s="8" t="s">
        <v>5</v>
      </c>
      <c r="H6" s="9" t="str">
        <f t="shared" ref="H6" si="115">LEFT(TEXT(H5,"ddd"),1)</f>
        <v>M</v>
      </c>
      <c r="I6" s="9" t="str">
        <f t="shared" ref="I6:AQ6" si="116">LEFT(TEXT(I5,"ddd"),1)</f>
        <v>T</v>
      </c>
      <c r="J6" s="9" t="str">
        <f t="shared" si="116"/>
        <v>W</v>
      </c>
      <c r="K6" s="9" t="str">
        <f t="shared" si="116"/>
        <v>T</v>
      </c>
      <c r="L6" s="9" t="str">
        <f t="shared" si="116"/>
        <v>F</v>
      </c>
      <c r="M6" s="9" t="str">
        <f t="shared" si="116"/>
        <v>S</v>
      </c>
      <c r="N6" s="9" t="str">
        <f t="shared" si="116"/>
        <v>S</v>
      </c>
      <c r="O6" s="9" t="str">
        <f t="shared" si="116"/>
        <v>M</v>
      </c>
      <c r="P6" s="9" t="str">
        <f t="shared" si="116"/>
        <v>T</v>
      </c>
      <c r="Q6" s="9" t="str">
        <f t="shared" si="116"/>
        <v>W</v>
      </c>
      <c r="R6" s="9" t="str">
        <f t="shared" si="116"/>
        <v>T</v>
      </c>
      <c r="S6" s="9" t="str">
        <f t="shared" si="116"/>
        <v>F</v>
      </c>
      <c r="T6" s="9" t="str">
        <f t="shared" si="116"/>
        <v>S</v>
      </c>
      <c r="U6" s="9" t="str">
        <f t="shared" si="116"/>
        <v>S</v>
      </c>
      <c r="V6" s="9" t="str">
        <f t="shared" si="116"/>
        <v>M</v>
      </c>
      <c r="W6" s="9" t="str">
        <f t="shared" si="116"/>
        <v>T</v>
      </c>
      <c r="X6" s="9" t="str">
        <f t="shared" si="116"/>
        <v>W</v>
      </c>
      <c r="Y6" s="9" t="str">
        <f t="shared" si="116"/>
        <v>T</v>
      </c>
      <c r="Z6" s="9" t="str">
        <f t="shared" si="116"/>
        <v>F</v>
      </c>
      <c r="AA6" s="9" t="str">
        <f t="shared" si="116"/>
        <v>S</v>
      </c>
      <c r="AB6" s="9" t="str">
        <f t="shared" si="116"/>
        <v>S</v>
      </c>
      <c r="AC6" s="9" t="str">
        <f t="shared" si="116"/>
        <v>M</v>
      </c>
      <c r="AD6" s="9" t="str">
        <f t="shared" si="116"/>
        <v>T</v>
      </c>
      <c r="AE6" s="9" t="str">
        <f t="shared" si="116"/>
        <v>W</v>
      </c>
      <c r="AF6" s="9" t="str">
        <f t="shared" si="116"/>
        <v>T</v>
      </c>
      <c r="AG6" s="9" t="str">
        <f t="shared" si="116"/>
        <v>F</v>
      </c>
      <c r="AH6" s="9" t="str">
        <f t="shared" si="116"/>
        <v>S</v>
      </c>
      <c r="AI6" s="9" t="str">
        <f t="shared" si="116"/>
        <v>S</v>
      </c>
      <c r="AJ6" s="9" t="str">
        <f t="shared" si="116"/>
        <v>M</v>
      </c>
      <c r="AK6" s="9" t="str">
        <f t="shared" si="116"/>
        <v>T</v>
      </c>
      <c r="AL6" s="9" t="str">
        <f t="shared" si="116"/>
        <v>W</v>
      </c>
      <c r="AM6" s="9" t="str">
        <f t="shared" si="116"/>
        <v>T</v>
      </c>
      <c r="AN6" s="9" t="str">
        <f t="shared" si="116"/>
        <v>F</v>
      </c>
      <c r="AO6" s="9" t="str">
        <f t="shared" si="116"/>
        <v>S</v>
      </c>
      <c r="AP6" s="9" t="str">
        <f t="shared" si="116"/>
        <v>S</v>
      </c>
      <c r="AQ6" s="9" t="str">
        <f t="shared" si="116"/>
        <v>M</v>
      </c>
      <c r="AR6" s="9" t="str">
        <f t="shared" ref="AR6:BD6" si="117">LEFT(TEXT(AR5,"ddd"),1)</f>
        <v>T</v>
      </c>
      <c r="AS6" s="9" t="str">
        <f t="shared" si="117"/>
        <v>W</v>
      </c>
      <c r="AT6" s="9" t="str">
        <f t="shared" si="117"/>
        <v>T</v>
      </c>
      <c r="AU6" s="9" t="str">
        <f t="shared" si="117"/>
        <v>F</v>
      </c>
      <c r="AV6" s="9" t="str">
        <f t="shared" si="117"/>
        <v>S</v>
      </c>
      <c r="AW6" s="9" t="str">
        <f t="shared" si="117"/>
        <v>S</v>
      </c>
      <c r="AX6" s="9" t="str">
        <f t="shared" si="117"/>
        <v>M</v>
      </c>
      <c r="AY6" s="9" t="str">
        <f t="shared" si="117"/>
        <v>T</v>
      </c>
      <c r="AZ6" s="9" t="str">
        <f t="shared" si="117"/>
        <v>W</v>
      </c>
      <c r="BA6" s="9" t="str">
        <f t="shared" si="117"/>
        <v>T</v>
      </c>
      <c r="BB6" s="9" t="str">
        <f t="shared" si="117"/>
        <v>F</v>
      </c>
      <c r="BC6" s="9" t="str">
        <f t="shared" si="117"/>
        <v>S</v>
      </c>
      <c r="BD6" s="9" t="str">
        <f t="shared" si="117"/>
        <v>S</v>
      </c>
      <c r="BE6" s="9" t="str">
        <f t="shared" ref="BE6:BR6" si="118">LEFT(TEXT(BE5,"ddd"),1)</f>
        <v>M</v>
      </c>
      <c r="BF6" s="9" t="str">
        <f t="shared" si="118"/>
        <v>T</v>
      </c>
      <c r="BG6" s="9" t="str">
        <f t="shared" si="118"/>
        <v>W</v>
      </c>
      <c r="BH6" s="9" t="str">
        <f t="shared" si="118"/>
        <v>T</v>
      </c>
      <c r="BI6" s="9" t="str">
        <f t="shared" si="118"/>
        <v>F</v>
      </c>
      <c r="BJ6" s="9" t="str">
        <f t="shared" si="118"/>
        <v>S</v>
      </c>
      <c r="BK6" s="9" t="str">
        <f t="shared" si="118"/>
        <v>S</v>
      </c>
      <c r="BL6" s="9" t="str">
        <f t="shared" si="118"/>
        <v>M</v>
      </c>
      <c r="BM6" s="9" t="str">
        <f t="shared" si="118"/>
        <v>T</v>
      </c>
      <c r="BN6" s="9" t="str">
        <f t="shared" si="118"/>
        <v>W</v>
      </c>
      <c r="BO6" s="9" t="str">
        <f t="shared" si="118"/>
        <v>T</v>
      </c>
      <c r="BP6" s="9" t="str">
        <f t="shared" si="118"/>
        <v>F</v>
      </c>
      <c r="BQ6" s="9" t="str">
        <f t="shared" si="118"/>
        <v>S</v>
      </c>
      <c r="BR6" s="9" t="str">
        <f t="shared" si="118"/>
        <v>S</v>
      </c>
      <c r="BS6" s="9" t="str">
        <f t="shared" ref="BS6:CT6" si="119">LEFT(TEXT(BS5,"ddd"),1)</f>
        <v>M</v>
      </c>
      <c r="BT6" s="9" t="str">
        <f t="shared" si="119"/>
        <v>T</v>
      </c>
      <c r="BU6" s="9" t="str">
        <f t="shared" si="119"/>
        <v>W</v>
      </c>
      <c r="BV6" s="9" t="str">
        <f t="shared" si="119"/>
        <v>T</v>
      </c>
      <c r="BW6" s="9" t="str">
        <f t="shared" si="119"/>
        <v>F</v>
      </c>
      <c r="BX6" s="9" t="str">
        <f t="shared" si="119"/>
        <v>S</v>
      </c>
      <c r="BY6" s="9" t="str">
        <f t="shared" si="119"/>
        <v>S</v>
      </c>
      <c r="BZ6" s="9" t="str">
        <f t="shared" si="119"/>
        <v>M</v>
      </c>
      <c r="CA6" s="9" t="str">
        <f t="shared" si="119"/>
        <v>T</v>
      </c>
      <c r="CB6" s="9" t="str">
        <f t="shared" si="119"/>
        <v>W</v>
      </c>
      <c r="CC6" s="9" t="str">
        <f t="shared" si="119"/>
        <v>T</v>
      </c>
      <c r="CD6" s="9" t="str">
        <f t="shared" si="119"/>
        <v>F</v>
      </c>
      <c r="CE6" s="9" t="str">
        <f t="shared" si="119"/>
        <v>S</v>
      </c>
      <c r="CF6" s="9" t="str">
        <f t="shared" si="119"/>
        <v>S</v>
      </c>
      <c r="CG6" s="9" t="str">
        <f t="shared" si="119"/>
        <v>M</v>
      </c>
      <c r="CH6" s="9" t="str">
        <f t="shared" si="119"/>
        <v>T</v>
      </c>
      <c r="CI6" s="9" t="str">
        <f t="shared" si="119"/>
        <v>W</v>
      </c>
      <c r="CJ6" s="9" t="str">
        <f t="shared" si="119"/>
        <v>T</v>
      </c>
      <c r="CK6" s="9" t="str">
        <f t="shared" si="119"/>
        <v>F</v>
      </c>
      <c r="CL6" s="9" t="str">
        <f t="shared" si="119"/>
        <v>S</v>
      </c>
      <c r="CM6" s="9" t="str">
        <f t="shared" si="119"/>
        <v>S</v>
      </c>
      <c r="CN6" s="9" t="str">
        <f t="shared" si="119"/>
        <v>M</v>
      </c>
      <c r="CO6" s="9" t="str">
        <f t="shared" si="119"/>
        <v>T</v>
      </c>
      <c r="CP6" s="9" t="str">
        <f t="shared" si="119"/>
        <v>W</v>
      </c>
      <c r="CQ6" s="9" t="str">
        <f t="shared" si="119"/>
        <v>T</v>
      </c>
      <c r="CR6" s="9" t="str">
        <f t="shared" si="119"/>
        <v>F</v>
      </c>
      <c r="CS6" s="9" t="str">
        <f t="shared" si="119"/>
        <v>S</v>
      </c>
      <c r="CT6" s="9" t="str">
        <f t="shared" si="119"/>
        <v>S</v>
      </c>
      <c r="CU6" s="9" t="str">
        <f t="shared" ref="CU6:DA6" si="120">LEFT(TEXT(CU5,"ddd"),1)</f>
        <v>M</v>
      </c>
      <c r="CV6" s="9" t="str">
        <f t="shared" si="120"/>
        <v>T</v>
      </c>
      <c r="CW6" s="9" t="str">
        <f t="shared" si="120"/>
        <v>W</v>
      </c>
      <c r="CX6" s="9" t="str">
        <f t="shared" si="120"/>
        <v>T</v>
      </c>
      <c r="CY6" s="9" t="str">
        <f t="shared" si="120"/>
        <v>F</v>
      </c>
      <c r="CZ6" s="9" t="str">
        <f t="shared" si="120"/>
        <v>S</v>
      </c>
      <c r="DA6" s="9" t="str">
        <f t="shared" si="120"/>
        <v>S</v>
      </c>
      <c r="DB6" s="9" t="str">
        <f t="shared" ref="DB6:EJ6" si="121">LEFT(TEXT(DB5,"ddd"),1)</f>
        <v>M</v>
      </c>
      <c r="DC6" s="9" t="str">
        <f t="shared" si="121"/>
        <v>T</v>
      </c>
      <c r="DD6" s="9" t="str">
        <f t="shared" si="121"/>
        <v>W</v>
      </c>
      <c r="DE6" s="9" t="str">
        <f t="shared" si="121"/>
        <v>T</v>
      </c>
      <c r="DF6" s="9" t="str">
        <f t="shared" si="121"/>
        <v>F</v>
      </c>
      <c r="DG6" s="9" t="str">
        <f t="shared" si="121"/>
        <v>S</v>
      </c>
      <c r="DH6" s="9" t="str">
        <f t="shared" si="121"/>
        <v>S</v>
      </c>
      <c r="DI6" s="9" t="str">
        <f t="shared" si="121"/>
        <v>M</v>
      </c>
      <c r="DJ6" s="9" t="str">
        <f t="shared" si="121"/>
        <v>T</v>
      </c>
      <c r="DK6" s="9" t="str">
        <f t="shared" si="121"/>
        <v>W</v>
      </c>
      <c r="DL6" s="9" t="str">
        <f t="shared" si="121"/>
        <v>T</v>
      </c>
      <c r="DM6" s="9" t="str">
        <f t="shared" si="121"/>
        <v>F</v>
      </c>
      <c r="DN6" s="9" t="str">
        <f t="shared" si="121"/>
        <v>S</v>
      </c>
      <c r="DO6" s="9" t="str">
        <f t="shared" si="121"/>
        <v>S</v>
      </c>
      <c r="DP6" s="9" t="str">
        <f t="shared" si="121"/>
        <v>M</v>
      </c>
      <c r="DQ6" s="9" t="str">
        <f t="shared" si="121"/>
        <v>T</v>
      </c>
      <c r="DR6" s="9" t="str">
        <f t="shared" si="121"/>
        <v>W</v>
      </c>
      <c r="DS6" s="9" t="str">
        <f t="shared" si="121"/>
        <v>T</v>
      </c>
      <c r="DT6" s="9" t="str">
        <f t="shared" si="121"/>
        <v>F</v>
      </c>
      <c r="DU6" s="9" t="str">
        <f t="shared" si="121"/>
        <v>S</v>
      </c>
      <c r="DV6" s="9" t="str">
        <f t="shared" si="121"/>
        <v>S</v>
      </c>
      <c r="DW6" s="9" t="str">
        <f t="shared" si="121"/>
        <v>M</v>
      </c>
      <c r="DX6" s="9" t="str">
        <f t="shared" si="121"/>
        <v>T</v>
      </c>
      <c r="DY6" s="9" t="str">
        <f t="shared" si="121"/>
        <v>W</v>
      </c>
      <c r="DZ6" s="9" t="str">
        <f t="shared" si="121"/>
        <v>T</v>
      </c>
      <c r="EA6" s="9" t="str">
        <f t="shared" si="121"/>
        <v>F</v>
      </c>
      <c r="EB6" s="9" t="str">
        <f t="shared" si="121"/>
        <v>S</v>
      </c>
      <c r="EC6" s="9" t="str">
        <f t="shared" si="121"/>
        <v>S</v>
      </c>
      <c r="ED6" s="9" t="str">
        <f t="shared" si="121"/>
        <v>M</v>
      </c>
      <c r="EE6" s="9" t="str">
        <f t="shared" si="121"/>
        <v>T</v>
      </c>
      <c r="EF6" s="9" t="str">
        <f t="shared" si="121"/>
        <v>W</v>
      </c>
      <c r="EG6" s="9" t="str">
        <f t="shared" si="121"/>
        <v>T</v>
      </c>
      <c r="EH6" s="9" t="str">
        <f t="shared" si="121"/>
        <v>F</v>
      </c>
      <c r="EI6" s="9" t="str">
        <f t="shared" si="121"/>
        <v>S</v>
      </c>
      <c r="EJ6" s="9" t="str">
        <f t="shared" si="121"/>
        <v>S</v>
      </c>
      <c r="EK6" s="9" t="str">
        <f t="shared" ref="EK6:FL6" si="122">LEFT(TEXT(EK5,"ddd"),1)</f>
        <v>M</v>
      </c>
      <c r="EL6" s="9" t="str">
        <f t="shared" si="122"/>
        <v>T</v>
      </c>
      <c r="EM6" s="9" t="str">
        <f t="shared" si="122"/>
        <v>W</v>
      </c>
      <c r="EN6" s="9" t="str">
        <f t="shared" si="122"/>
        <v>T</v>
      </c>
      <c r="EO6" s="9" t="str">
        <f t="shared" si="122"/>
        <v>F</v>
      </c>
      <c r="EP6" s="9" t="str">
        <f t="shared" si="122"/>
        <v>S</v>
      </c>
      <c r="EQ6" s="9" t="str">
        <f t="shared" si="122"/>
        <v>S</v>
      </c>
      <c r="ER6" s="9" t="str">
        <f t="shared" si="122"/>
        <v>M</v>
      </c>
      <c r="ES6" s="9" t="str">
        <f t="shared" si="122"/>
        <v>T</v>
      </c>
      <c r="ET6" s="9" t="str">
        <f t="shared" si="122"/>
        <v>W</v>
      </c>
      <c r="EU6" s="9" t="str">
        <f t="shared" si="122"/>
        <v>T</v>
      </c>
      <c r="EV6" s="9" t="str">
        <f t="shared" si="122"/>
        <v>F</v>
      </c>
      <c r="EW6" s="9" t="str">
        <f t="shared" si="122"/>
        <v>S</v>
      </c>
      <c r="EX6" s="9" t="str">
        <f t="shared" si="122"/>
        <v>S</v>
      </c>
      <c r="EY6" s="9" t="str">
        <f t="shared" si="122"/>
        <v>M</v>
      </c>
      <c r="EZ6" s="9" t="str">
        <f t="shared" si="122"/>
        <v>T</v>
      </c>
      <c r="FA6" s="9" t="str">
        <f t="shared" si="122"/>
        <v>W</v>
      </c>
      <c r="FB6" s="9" t="str">
        <f t="shared" si="122"/>
        <v>T</v>
      </c>
      <c r="FC6" s="9" t="str">
        <f t="shared" si="122"/>
        <v>F</v>
      </c>
      <c r="FD6" s="9" t="str">
        <f t="shared" si="122"/>
        <v>S</v>
      </c>
      <c r="FE6" s="9" t="str">
        <f t="shared" si="122"/>
        <v>S</v>
      </c>
      <c r="FF6" s="9" t="str">
        <f t="shared" si="122"/>
        <v>M</v>
      </c>
      <c r="FG6" s="9" t="str">
        <f t="shared" si="122"/>
        <v>T</v>
      </c>
      <c r="FH6" s="9" t="str">
        <f t="shared" si="122"/>
        <v>W</v>
      </c>
      <c r="FI6" s="9" t="str">
        <f t="shared" si="122"/>
        <v>T</v>
      </c>
      <c r="FJ6" s="9" t="str">
        <f t="shared" si="122"/>
        <v>F</v>
      </c>
      <c r="FK6" s="9" t="str">
        <f t="shared" si="122"/>
        <v>S</v>
      </c>
      <c r="FL6" s="9" t="str">
        <f t="shared" si="122"/>
        <v>S</v>
      </c>
      <c r="FM6" s="9" t="str">
        <f t="shared" ref="FM6:FZ6" si="123">LEFT(TEXT(FM5,"ddd"),1)</f>
        <v>M</v>
      </c>
      <c r="FN6" s="9" t="str">
        <f t="shared" si="123"/>
        <v>T</v>
      </c>
      <c r="FO6" s="9" t="str">
        <f t="shared" si="123"/>
        <v>W</v>
      </c>
      <c r="FP6" s="9" t="str">
        <f t="shared" si="123"/>
        <v>T</v>
      </c>
      <c r="FQ6" s="9" t="str">
        <f t="shared" si="123"/>
        <v>F</v>
      </c>
      <c r="FR6" s="9" t="str">
        <f t="shared" si="123"/>
        <v>S</v>
      </c>
      <c r="FS6" s="9" t="str">
        <f t="shared" si="123"/>
        <v>S</v>
      </c>
      <c r="FT6" s="9" t="str">
        <f t="shared" si="123"/>
        <v>M</v>
      </c>
      <c r="FU6" s="9" t="str">
        <f t="shared" si="123"/>
        <v>T</v>
      </c>
      <c r="FV6" s="9" t="str">
        <f t="shared" si="123"/>
        <v>W</v>
      </c>
      <c r="FW6" s="9" t="str">
        <f t="shared" si="123"/>
        <v>T</v>
      </c>
      <c r="FX6" s="9" t="str">
        <f t="shared" si="123"/>
        <v>F</v>
      </c>
      <c r="FY6" s="9" t="str">
        <f t="shared" si="123"/>
        <v>S</v>
      </c>
      <c r="FZ6" s="9" t="str">
        <f t="shared" si="123"/>
        <v>S</v>
      </c>
      <c r="GC6" s="92">
        <v>1</v>
      </c>
    </row>
    <row r="7" spans="1:185" ht="30" hidden="1" customHeight="1" thickBot="1" x14ac:dyDescent="0.35">
      <c r="D7"/>
      <c r="G7" t="str">
        <f>IF(OR(ISBLANK(task_start),ISBLANK(task_end)),"",task_end-task_start+1)</f>
        <v/>
      </c>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97"/>
      <c r="FG7" s="27"/>
      <c r="FH7" s="27"/>
      <c r="FI7" s="27"/>
      <c r="FJ7" s="27"/>
      <c r="FK7" s="27"/>
      <c r="FL7" s="27"/>
      <c r="FM7" s="27"/>
      <c r="FN7" s="27"/>
      <c r="FO7" s="27"/>
      <c r="FP7" s="27"/>
      <c r="FQ7" s="27"/>
      <c r="FR7" s="27"/>
      <c r="FS7" s="27"/>
      <c r="FT7" s="27"/>
      <c r="FU7" s="27"/>
      <c r="FV7" s="27"/>
      <c r="FW7" s="27"/>
      <c r="FX7" s="27"/>
      <c r="FY7" s="27"/>
      <c r="FZ7" s="27"/>
      <c r="GC7" s="92">
        <v>1</v>
      </c>
    </row>
    <row r="8" spans="1:185" ht="21.6" customHeight="1" thickBot="1" x14ac:dyDescent="0.35">
      <c r="B8" s="71" t="s">
        <v>27</v>
      </c>
      <c r="C8" s="72"/>
      <c r="D8" s="73"/>
      <c r="E8" s="74"/>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93"/>
      <c r="FF8" s="98"/>
      <c r="FG8" s="95"/>
      <c r="FH8" s="27"/>
      <c r="FI8" s="27"/>
      <c r="FJ8" s="27"/>
      <c r="FK8" s="27"/>
      <c r="FL8" s="27"/>
      <c r="FM8" s="27"/>
      <c r="FN8" s="27"/>
      <c r="FO8" s="27"/>
      <c r="FP8" s="27"/>
      <c r="FQ8" s="27"/>
      <c r="FR8" s="27"/>
      <c r="FS8" s="27"/>
      <c r="FT8" s="27"/>
      <c r="FU8" s="27"/>
      <c r="FV8" s="27"/>
      <c r="FW8" s="27"/>
      <c r="FX8" s="27"/>
      <c r="FY8" s="27"/>
      <c r="FZ8" s="27"/>
      <c r="GC8" s="92">
        <v>1</v>
      </c>
    </row>
    <row r="9" spans="1:185" ht="21.6" customHeight="1" thickBot="1" x14ac:dyDescent="0.35">
      <c r="B9" s="78" t="s">
        <v>28</v>
      </c>
      <c r="C9" s="76">
        <v>1</v>
      </c>
      <c r="D9" s="77">
        <f>DATE(2025, 11, 3)</f>
        <v>45964</v>
      </c>
      <c r="E9" s="77">
        <f>DATE(2025, 11, 11)</f>
        <v>45972</v>
      </c>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93"/>
      <c r="FF9" s="98"/>
      <c r="FG9" s="95"/>
      <c r="FH9" s="27"/>
      <c r="FI9" s="27"/>
      <c r="FJ9" s="27"/>
      <c r="FK9" s="27"/>
      <c r="FL9" s="27"/>
      <c r="FM9" s="27"/>
      <c r="FN9" s="27"/>
      <c r="FO9" s="27"/>
      <c r="FP9" s="27"/>
      <c r="FQ9" s="27"/>
      <c r="FR9" s="27"/>
      <c r="FS9" s="27"/>
      <c r="FT9" s="27"/>
      <c r="FU9" s="27"/>
      <c r="FV9" s="27"/>
      <c r="FW9" s="27"/>
      <c r="FX9" s="27"/>
      <c r="FY9" s="27"/>
      <c r="FZ9" s="27"/>
      <c r="GC9" s="92">
        <v>1</v>
      </c>
    </row>
    <row r="10" spans="1:185" ht="21.6" customHeight="1" thickBot="1" x14ac:dyDescent="0.35">
      <c r="B10" s="75" t="s">
        <v>29</v>
      </c>
      <c r="C10" s="76">
        <v>0</v>
      </c>
      <c r="D10" s="77">
        <f>DATE(2026,1,12)</f>
        <v>46034</v>
      </c>
      <c r="E10" s="77">
        <f>DATE(2026,1,27)</f>
        <v>46049</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93"/>
      <c r="FF10" s="98"/>
      <c r="FG10" s="95"/>
      <c r="FH10" s="27"/>
      <c r="FI10" s="27"/>
      <c r="FJ10" s="27"/>
      <c r="FK10" s="27"/>
      <c r="FL10" s="27"/>
      <c r="FM10" s="27"/>
      <c r="FN10" s="27"/>
      <c r="FO10" s="27"/>
      <c r="FP10" s="27"/>
      <c r="FQ10" s="27"/>
      <c r="FR10" s="27"/>
      <c r="FS10" s="27"/>
      <c r="FT10" s="27"/>
      <c r="FU10" s="27"/>
      <c r="FV10" s="27"/>
      <c r="FW10" s="27"/>
      <c r="FX10" s="27"/>
      <c r="FY10" s="27"/>
      <c r="FZ10" s="27"/>
      <c r="GC10" s="92">
        <v>1</v>
      </c>
    </row>
    <row r="11" spans="1:185" ht="21.6" customHeight="1" thickBot="1" x14ac:dyDescent="0.35">
      <c r="B11" s="75" t="s">
        <v>30</v>
      </c>
      <c r="C11" s="76">
        <v>1</v>
      </c>
      <c r="D11" s="77">
        <f>DATE(2025,11,3)</f>
        <v>45964</v>
      </c>
      <c r="E11" s="77">
        <f>DATE(2025, 11, 17)</f>
        <v>45978</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93"/>
      <c r="FF11" s="98"/>
      <c r="FG11" s="95"/>
      <c r="FH11" s="27"/>
      <c r="FI11" s="27"/>
      <c r="FJ11" s="27"/>
      <c r="FK11" s="27"/>
      <c r="FL11" s="27"/>
      <c r="FM11" s="27"/>
      <c r="FN11" s="27"/>
      <c r="FO11" s="27"/>
      <c r="FP11" s="27"/>
      <c r="FQ11" s="27"/>
      <c r="FR11" s="27"/>
      <c r="FS11" s="27"/>
      <c r="FT11" s="27"/>
      <c r="FU11" s="27"/>
      <c r="FV11" s="27"/>
      <c r="FW11" s="27"/>
      <c r="FX11" s="27"/>
      <c r="FY11" s="27"/>
      <c r="FZ11" s="27"/>
      <c r="GC11" s="92">
        <v>1</v>
      </c>
    </row>
    <row r="12" spans="1:185" ht="21.6" customHeight="1" thickBot="1" x14ac:dyDescent="0.35">
      <c r="B12" s="75" t="s">
        <v>31</v>
      </c>
      <c r="C12" s="76">
        <v>0</v>
      </c>
      <c r="D12" s="77">
        <f>DATE(2026,1,1)</f>
        <v>46023</v>
      </c>
      <c r="E12" s="77">
        <f>DATE(2026,2,2)</f>
        <v>46055</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93"/>
      <c r="FF12" s="98"/>
      <c r="FG12" s="95"/>
      <c r="FH12" s="27"/>
      <c r="FI12" s="27"/>
      <c r="FJ12" s="27"/>
      <c r="FK12" s="27"/>
      <c r="FL12" s="27"/>
      <c r="FM12" s="27"/>
      <c r="FN12" s="27"/>
      <c r="FO12" s="27"/>
      <c r="FP12" s="27"/>
      <c r="FQ12" s="27"/>
      <c r="FR12" s="27"/>
      <c r="FS12" s="27"/>
      <c r="FT12" s="27"/>
      <c r="FU12" s="27"/>
      <c r="FV12" s="27"/>
      <c r="FW12" s="27"/>
      <c r="FX12" s="27"/>
      <c r="FY12" s="27"/>
      <c r="FZ12" s="27"/>
      <c r="GC12" s="92">
        <v>1</v>
      </c>
    </row>
    <row r="13" spans="1:185" ht="21.6" customHeight="1" thickBot="1" x14ac:dyDescent="0.35">
      <c r="B13" s="75" t="s">
        <v>32</v>
      </c>
      <c r="C13" s="76">
        <v>0</v>
      </c>
      <c r="D13" s="77">
        <f>DATE(2026, 1, 1)</f>
        <v>46023</v>
      </c>
      <c r="E13" s="77">
        <f>DATE(2026, 1, 25)</f>
        <v>46047</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93"/>
      <c r="FF13" s="98"/>
      <c r="FG13" s="95"/>
      <c r="FH13" s="27"/>
      <c r="FI13" s="27"/>
      <c r="FJ13" s="27"/>
      <c r="FK13" s="27"/>
      <c r="FL13" s="27"/>
      <c r="FM13" s="27"/>
      <c r="FN13" s="27"/>
      <c r="FO13" s="27"/>
      <c r="FP13" s="27"/>
      <c r="FQ13" s="27"/>
      <c r="FR13" s="27"/>
      <c r="FS13" s="27"/>
      <c r="FT13" s="27"/>
      <c r="FU13" s="27"/>
      <c r="FV13" s="27"/>
      <c r="FW13" s="27"/>
      <c r="FX13" s="27"/>
      <c r="FY13" s="27"/>
      <c r="FZ13" s="27"/>
      <c r="GC13" s="92">
        <v>1</v>
      </c>
    </row>
    <row r="14" spans="1:185" s="2" customFormat="1" ht="21.6" customHeight="1" thickBot="1" x14ac:dyDescent="0.35">
      <c r="A14" s="40"/>
      <c r="B14" s="12" t="s">
        <v>24</v>
      </c>
      <c r="C14" s="13"/>
      <c r="D14" s="55"/>
      <c r="E14" s="56"/>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93"/>
      <c r="FF14" s="98"/>
      <c r="FG14" s="95"/>
      <c r="FH14" s="27"/>
      <c r="FI14" s="27"/>
      <c r="FJ14" s="27"/>
      <c r="FK14" s="27"/>
      <c r="FL14" s="27"/>
      <c r="FM14" s="27"/>
      <c r="FN14" s="27"/>
      <c r="FO14" s="27"/>
      <c r="FP14" s="27"/>
      <c r="FQ14" s="27"/>
      <c r="FR14" s="27"/>
      <c r="FS14" s="27"/>
      <c r="FT14" s="27"/>
      <c r="FU14" s="27"/>
      <c r="FV14" s="27"/>
      <c r="FW14" s="27"/>
      <c r="FX14" s="27"/>
      <c r="FY14" s="27"/>
      <c r="FZ14" s="27"/>
      <c r="GC14" s="92">
        <v>1</v>
      </c>
    </row>
    <row r="15" spans="1:185" s="2" customFormat="1" ht="21.6" customHeight="1" thickBot="1" x14ac:dyDescent="0.35">
      <c r="A15" s="40"/>
      <c r="B15" s="46" t="s">
        <v>50</v>
      </c>
      <c r="C15" s="14">
        <v>1</v>
      </c>
      <c r="D15" s="57">
        <f>Begin_project+1</f>
        <v>45902</v>
      </c>
      <c r="E15" s="57">
        <f>D15+20</f>
        <v>45922</v>
      </c>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93"/>
      <c r="FF15" s="98"/>
      <c r="FG15" s="95"/>
      <c r="FH15" s="27"/>
      <c r="FI15" s="27"/>
      <c r="FJ15" s="27"/>
      <c r="FK15" s="27"/>
      <c r="FL15" s="27"/>
      <c r="FM15" s="27"/>
      <c r="FN15" s="27"/>
      <c r="FO15" s="27"/>
      <c r="FP15" s="27"/>
      <c r="FQ15" s="27"/>
      <c r="FR15" s="27"/>
      <c r="FS15" s="27"/>
      <c r="FT15" s="27"/>
      <c r="FU15" s="27"/>
      <c r="FV15" s="27"/>
      <c r="FW15" s="27"/>
      <c r="FX15" s="27"/>
      <c r="FY15" s="27"/>
      <c r="FZ15" s="27"/>
      <c r="GC15" s="92">
        <v>1</v>
      </c>
    </row>
    <row r="16" spans="1:185" s="2" customFormat="1" ht="21.6" customHeight="1" thickBot="1" x14ac:dyDescent="0.35">
      <c r="A16" s="40"/>
      <c r="B16" s="46" t="s">
        <v>73</v>
      </c>
      <c r="C16" s="14">
        <v>0.9</v>
      </c>
      <c r="D16" s="57">
        <v>45902</v>
      </c>
      <c r="E16" s="57">
        <v>45908</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93"/>
      <c r="FF16" s="98"/>
      <c r="FG16" s="95"/>
      <c r="FH16" s="27"/>
      <c r="FI16" s="27"/>
      <c r="FJ16" s="27"/>
      <c r="FK16" s="27"/>
      <c r="FL16" s="27"/>
      <c r="FM16" s="27"/>
      <c r="FN16" s="27"/>
      <c r="FO16" s="27"/>
      <c r="FP16" s="27"/>
      <c r="FQ16" s="27"/>
      <c r="FR16" s="27"/>
      <c r="FS16" s="27"/>
      <c r="FT16" s="27"/>
      <c r="FU16" s="27"/>
      <c r="FV16" s="27"/>
      <c r="FW16" s="27"/>
      <c r="FX16" s="27"/>
      <c r="FY16" s="27"/>
      <c r="FZ16" s="27"/>
      <c r="GC16" s="92"/>
    </row>
    <row r="17" spans="1:185" s="2" customFormat="1" ht="21.6" customHeight="1" thickBot="1" x14ac:dyDescent="0.35">
      <c r="A17" s="40"/>
      <c r="B17" s="46" t="s">
        <v>51</v>
      </c>
      <c r="C17" s="14">
        <v>1</v>
      </c>
      <c r="D17" s="57">
        <f>D15+13</f>
        <v>45915</v>
      </c>
      <c r="E17" s="57">
        <f>D17+4</f>
        <v>45919</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93"/>
      <c r="FF17" s="98"/>
      <c r="FG17" s="95"/>
      <c r="FH17" s="27"/>
      <c r="FI17" s="27"/>
      <c r="FJ17" s="27"/>
      <c r="FK17" s="27"/>
      <c r="FL17" s="27"/>
      <c r="FM17" s="27"/>
      <c r="FN17" s="27"/>
      <c r="FO17" s="27"/>
      <c r="FP17" s="27"/>
      <c r="FQ17" s="27"/>
      <c r="FR17" s="27"/>
      <c r="FS17" s="27"/>
      <c r="FT17" s="27"/>
      <c r="FU17" s="27"/>
      <c r="FV17" s="27"/>
      <c r="FW17" s="27"/>
      <c r="FX17" s="27"/>
      <c r="FY17" s="27"/>
      <c r="FZ17" s="27"/>
      <c r="GC17" s="92">
        <v>1</v>
      </c>
    </row>
    <row r="18" spans="1:185" s="2" customFormat="1" ht="21.6" customHeight="1" thickBot="1" x14ac:dyDescent="0.35">
      <c r="A18" s="40"/>
      <c r="B18" s="46" t="s">
        <v>52</v>
      </c>
      <c r="C18" s="14">
        <v>1</v>
      </c>
      <c r="D18" s="57">
        <f>DATE(2025, 10, 13 )</f>
        <v>45943</v>
      </c>
      <c r="E18" s="57">
        <f>D18+30</f>
        <v>45973</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93"/>
      <c r="FF18" s="98"/>
      <c r="FG18" s="95"/>
      <c r="FH18" s="27"/>
      <c r="FI18" s="27"/>
      <c r="FJ18" s="27"/>
      <c r="FK18" s="27"/>
      <c r="FL18" s="27"/>
      <c r="FM18" s="27"/>
      <c r="FN18" s="27"/>
      <c r="FO18" s="27"/>
      <c r="FP18" s="27"/>
      <c r="FQ18" s="27"/>
      <c r="FR18" s="27"/>
      <c r="FS18" s="27"/>
      <c r="FT18" s="27"/>
      <c r="FU18" s="27"/>
      <c r="FV18" s="27"/>
      <c r="FW18" s="27"/>
      <c r="FX18" s="27"/>
      <c r="FY18" s="27"/>
      <c r="FZ18" s="27"/>
      <c r="GC18" s="92">
        <v>1</v>
      </c>
    </row>
    <row r="19" spans="1:185" s="2" customFormat="1" ht="21.6" customHeight="1" thickBot="1" x14ac:dyDescent="0.35">
      <c r="A19" s="40"/>
      <c r="B19" s="46" t="s">
        <v>102</v>
      </c>
      <c r="C19" s="14">
        <v>0</v>
      </c>
      <c r="D19" s="57"/>
      <c r="E19" s="5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93"/>
      <c r="FF19" s="98"/>
      <c r="FG19" s="95"/>
      <c r="FH19" s="27"/>
      <c r="FI19" s="27"/>
      <c r="FJ19" s="27"/>
      <c r="FK19" s="27"/>
      <c r="FL19" s="27"/>
      <c r="FM19" s="27"/>
      <c r="FN19" s="27"/>
      <c r="FO19" s="27"/>
      <c r="FP19" s="27"/>
      <c r="FQ19" s="27"/>
      <c r="FR19" s="27"/>
      <c r="FS19" s="27"/>
      <c r="FT19" s="27"/>
      <c r="FU19" s="27"/>
      <c r="FV19" s="27"/>
      <c r="FW19" s="27"/>
      <c r="FX19" s="27"/>
      <c r="FY19" s="27"/>
      <c r="FZ19" s="27"/>
      <c r="GC19" s="92">
        <v>1</v>
      </c>
    </row>
    <row r="20" spans="1:185" s="2" customFormat="1" ht="21.6" customHeight="1" thickBot="1" x14ac:dyDescent="0.35">
      <c r="A20" s="40"/>
      <c r="B20" s="46" t="s">
        <v>72</v>
      </c>
      <c r="C20" s="14">
        <v>0.9</v>
      </c>
      <c r="D20" s="57">
        <v>45909</v>
      </c>
      <c r="E20" s="57">
        <v>45915</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93"/>
      <c r="FF20" s="98"/>
      <c r="FG20" s="95"/>
      <c r="FH20" s="27"/>
      <c r="FI20" s="27"/>
      <c r="FJ20" s="27"/>
      <c r="FK20" s="27"/>
      <c r="FL20" s="27"/>
      <c r="FM20" s="27"/>
      <c r="FN20" s="27"/>
      <c r="FO20" s="27"/>
      <c r="FP20" s="27"/>
      <c r="FQ20" s="27"/>
      <c r="FR20" s="27"/>
      <c r="FS20" s="27"/>
      <c r="FT20" s="27"/>
      <c r="FU20" s="27"/>
      <c r="FV20" s="27"/>
      <c r="FW20" s="27"/>
      <c r="FX20" s="27"/>
      <c r="FY20" s="27"/>
      <c r="FZ20" s="27"/>
      <c r="GC20" s="92">
        <v>1</v>
      </c>
    </row>
    <row r="21" spans="1:185" s="2" customFormat="1" ht="21.6" customHeight="1" thickBot="1" x14ac:dyDescent="0.35">
      <c r="A21" s="40"/>
      <c r="B21" s="15" t="s">
        <v>25</v>
      </c>
      <c r="C21" s="16"/>
      <c r="D21" s="58"/>
      <c r="E21" s="59"/>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93"/>
      <c r="FF21" s="98"/>
      <c r="FG21" s="95"/>
      <c r="FH21" s="27"/>
      <c r="FI21" s="27"/>
      <c r="FJ21" s="27"/>
      <c r="FK21" s="27"/>
      <c r="FL21" s="27"/>
      <c r="FM21" s="27"/>
      <c r="FN21" s="27"/>
      <c r="FO21" s="27"/>
      <c r="FP21" s="27"/>
      <c r="FQ21" s="27"/>
      <c r="FR21" s="27"/>
      <c r="FS21" s="27"/>
      <c r="FT21" s="27"/>
      <c r="FU21" s="27"/>
      <c r="FV21" s="27"/>
      <c r="FW21" s="27"/>
      <c r="FX21" s="27"/>
      <c r="FY21" s="27"/>
      <c r="FZ21" s="27"/>
      <c r="GC21" s="92">
        <v>1</v>
      </c>
    </row>
    <row r="22" spans="1:185" s="2" customFormat="1" ht="21.6" customHeight="1" thickBot="1" x14ac:dyDescent="0.35">
      <c r="A22" s="40"/>
      <c r="B22" s="47" t="s">
        <v>61</v>
      </c>
      <c r="C22" s="17">
        <v>1</v>
      </c>
      <c r="D22" s="60">
        <f>DATE(2025, 9, 18)</f>
        <v>45918</v>
      </c>
      <c r="E22" s="60">
        <f>D22+13</f>
        <v>45931</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93"/>
      <c r="FF22" s="98"/>
      <c r="FG22" s="95"/>
      <c r="FH22" s="27"/>
      <c r="FI22" s="27"/>
      <c r="FJ22" s="27"/>
      <c r="FK22" s="27"/>
      <c r="FL22" s="27"/>
      <c r="FM22" s="27"/>
      <c r="FN22" s="27"/>
      <c r="FO22" s="27"/>
      <c r="FP22" s="27"/>
      <c r="FQ22" s="27"/>
      <c r="FR22" s="27"/>
      <c r="FS22" s="27"/>
      <c r="FT22" s="27"/>
      <c r="FU22" s="27"/>
      <c r="FV22" s="27"/>
      <c r="FW22" s="27"/>
      <c r="FX22" s="27"/>
      <c r="FY22" s="27"/>
      <c r="FZ22" s="27"/>
      <c r="GC22" s="92">
        <v>1</v>
      </c>
    </row>
    <row r="23" spans="1:185" s="2" customFormat="1" ht="21.6" customHeight="1" thickBot="1" x14ac:dyDescent="0.35">
      <c r="A23" s="40"/>
      <c r="B23" s="47" t="s">
        <v>61</v>
      </c>
      <c r="C23" s="17">
        <v>1</v>
      </c>
      <c r="D23" s="60">
        <f>DATE(2025, 11,20)</f>
        <v>45981</v>
      </c>
      <c r="E23" s="60">
        <f>D23+10</f>
        <v>45991</v>
      </c>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93"/>
      <c r="FF23" s="98"/>
      <c r="FG23" s="95"/>
      <c r="FH23" s="27"/>
      <c r="FI23" s="27"/>
      <c r="FJ23" s="27"/>
      <c r="FK23" s="27"/>
      <c r="FL23" s="27"/>
      <c r="FM23" s="27"/>
      <c r="FN23" s="27"/>
      <c r="FO23" s="27"/>
      <c r="FP23" s="27"/>
      <c r="FQ23" s="27"/>
      <c r="FR23" s="27"/>
      <c r="FS23" s="27"/>
      <c r="FT23" s="27"/>
      <c r="FU23" s="27"/>
      <c r="FV23" s="27"/>
      <c r="FW23" s="27"/>
      <c r="FX23" s="27"/>
      <c r="FY23" s="27"/>
      <c r="FZ23" s="27"/>
      <c r="GC23" s="92">
        <v>1</v>
      </c>
    </row>
    <row r="24" spans="1:185" s="2" customFormat="1" ht="21.6" customHeight="1" thickBot="1" x14ac:dyDescent="0.35">
      <c r="A24" s="40"/>
      <c r="B24" s="47" t="s">
        <v>79</v>
      </c>
      <c r="C24" s="17">
        <v>1</v>
      </c>
      <c r="D24" s="60">
        <v>45978</v>
      </c>
      <c r="E24" s="60">
        <v>45980</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93"/>
      <c r="FF24" s="98"/>
      <c r="FG24" s="95"/>
      <c r="FH24" s="27"/>
      <c r="FI24" s="27"/>
      <c r="FJ24" s="27"/>
      <c r="FK24" s="27"/>
      <c r="FL24" s="27"/>
      <c r="FM24" s="27"/>
      <c r="FN24" s="27"/>
      <c r="FO24" s="27"/>
      <c r="FP24" s="27"/>
      <c r="FQ24" s="27"/>
      <c r="FR24" s="27"/>
      <c r="FS24" s="27"/>
      <c r="FT24" s="27"/>
      <c r="FU24" s="27"/>
      <c r="FV24" s="27"/>
      <c r="FW24" s="27"/>
      <c r="FX24" s="27"/>
      <c r="FY24" s="27"/>
      <c r="FZ24" s="27"/>
      <c r="GC24" s="92">
        <v>1</v>
      </c>
    </row>
    <row r="25" spans="1:185" s="2" customFormat="1" ht="21.6" customHeight="1" thickBot="1" x14ac:dyDescent="0.35">
      <c r="A25" s="40"/>
      <c r="B25" s="47" t="s">
        <v>74</v>
      </c>
      <c r="C25" s="17">
        <v>1</v>
      </c>
      <c r="D25" s="60">
        <v>45954</v>
      </c>
      <c r="E25" s="60">
        <v>45954</v>
      </c>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93"/>
      <c r="FF25" s="98"/>
      <c r="FG25" s="95"/>
      <c r="FH25" s="27"/>
      <c r="FI25" s="27"/>
      <c r="FJ25" s="27"/>
      <c r="FK25" s="27"/>
      <c r="FL25" s="27"/>
      <c r="FM25" s="27"/>
      <c r="FN25" s="27"/>
      <c r="FO25" s="27"/>
      <c r="FP25" s="27"/>
      <c r="FQ25" s="27"/>
      <c r="FR25" s="27"/>
      <c r="FS25" s="27"/>
      <c r="FT25" s="27"/>
      <c r="FU25" s="27"/>
      <c r="FV25" s="27"/>
      <c r="FW25" s="27"/>
      <c r="FX25" s="27"/>
      <c r="FY25" s="27"/>
      <c r="FZ25" s="27"/>
      <c r="GC25" s="92">
        <v>1</v>
      </c>
    </row>
    <row r="26" spans="1:185" s="2" customFormat="1" ht="21.6" customHeight="1" thickBot="1" x14ac:dyDescent="0.35">
      <c r="A26" s="40"/>
      <c r="B26" s="47" t="s">
        <v>75</v>
      </c>
      <c r="C26" s="17">
        <v>0</v>
      </c>
      <c r="D26" s="60"/>
      <c r="E26" s="60"/>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93"/>
      <c r="FF26" s="98"/>
      <c r="FG26" s="95"/>
      <c r="FH26" s="27"/>
      <c r="FI26" s="27"/>
      <c r="FJ26" s="27"/>
      <c r="FK26" s="27"/>
      <c r="FL26" s="27"/>
      <c r="FM26" s="27"/>
      <c r="FN26" s="27"/>
      <c r="FO26" s="27"/>
      <c r="FP26" s="27"/>
      <c r="FQ26" s="27"/>
      <c r="FR26" s="27"/>
      <c r="FS26" s="27"/>
      <c r="FT26" s="27"/>
      <c r="FU26" s="27"/>
      <c r="FV26" s="27"/>
      <c r="FW26" s="27"/>
      <c r="FX26" s="27"/>
      <c r="FY26" s="27"/>
      <c r="FZ26" s="27"/>
      <c r="GC26" s="92">
        <v>1</v>
      </c>
    </row>
    <row r="27" spans="1:185" s="2" customFormat="1" ht="21.6" customHeight="1" thickBot="1" x14ac:dyDescent="0.35">
      <c r="A27" s="40"/>
      <c r="B27" s="18" t="s">
        <v>26</v>
      </c>
      <c r="C27" s="19"/>
      <c r="D27" s="61"/>
      <c r="E27" s="62"/>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93"/>
      <c r="FF27" s="98"/>
      <c r="FG27" s="95"/>
      <c r="FH27" s="27"/>
      <c r="FI27" s="27"/>
      <c r="FJ27" s="27"/>
      <c r="FK27" s="27"/>
      <c r="FL27" s="27"/>
      <c r="FM27" s="27"/>
      <c r="FN27" s="27"/>
      <c r="FO27" s="27"/>
      <c r="FP27" s="27"/>
      <c r="FQ27" s="27"/>
      <c r="FR27" s="27"/>
      <c r="FS27" s="27"/>
      <c r="FT27" s="27"/>
      <c r="FU27" s="27"/>
      <c r="FV27" s="27"/>
      <c r="FW27" s="27"/>
      <c r="FX27" s="27"/>
      <c r="FY27" s="27"/>
      <c r="FZ27" s="27"/>
      <c r="GC27" s="92">
        <v>1</v>
      </c>
    </row>
    <row r="28" spans="1:185" s="2" customFormat="1" ht="21.6" customHeight="1" thickBot="1" x14ac:dyDescent="0.35">
      <c r="A28" s="40"/>
      <c r="B28" s="48" t="s">
        <v>62</v>
      </c>
      <c r="C28" s="20">
        <v>1</v>
      </c>
      <c r="D28" s="63">
        <v>45929</v>
      </c>
      <c r="E28" s="63">
        <v>45950</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93"/>
      <c r="FF28" s="98"/>
      <c r="FG28" s="95"/>
      <c r="FH28" s="27"/>
      <c r="FI28" s="27"/>
      <c r="FJ28" s="27"/>
      <c r="FK28" s="27"/>
      <c r="FL28" s="27"/>
      <c r="FM28" s="27"/>
      <c r="FN28" s="27"/>
      <c r="FO28" s="27"/>
      <c r="FP28" s="27"/>
      <c r="FQ28" s="27"/>
      <c r="FR28" s="27"/>
      <c r="FS28" s="27"/>
      <c r="FT28" s="27"/>
      <c r="FU28" s="27"/>
      <c r="FV28" s="27"/>
      <c r="FW28" s="27"/>
      <c r="FX28" s="27"/>
      <c r="FY28" s="27"/>
      <c r="FZ28" s="27"/>
      <c r="GC28" s="92">
        <v>1</v>
      </c>
    </row>
    <row r="29" spans="1:185" s="2" customFormat="1" ht="21.6" customHeight="1" thickBot="1" x14ac:dyDescent="0.35">
      <c r="A29" s="40"/>
      <c r="B29" s="48" t="s">
        <v>64</v>
      </c>
      <c r="C29" s="20">
        <v>1</v>
      </c>
      <c r="D29" s="63">
        <v>45914</v>
      </c>
      <c r="E29" s="63">
        <v>45922</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93"/>
      <c r="FF29" s="98"/>
      <c r="FG29" s="95"/>
      <c r="FH29" s="27"/>
      <c r="FI29" s="27"/>
      <c r="FJ29" s="27"/>
      <c r="FK29" s="27"/>
      <c r="FL29" s="27"/>
      <c r="FM29" s="27"/>
      <c r="FN29" s="27"/>
      <c r="FO29" s="27"/>
      <c r="FP29" s="27"/>
      <c r="FQ29" s="27"/>
      <c r="FR29" s="27"/>
      <c r="FS29" s="27"/>
      <c r="FT29" s="27"/>
      <c r="FU29" s="27"/>
      <c r="FV29" s="27"/>
      <c r="FW29" s="27"/>
      <c r="FX29" s="27"/>
      <c r="FY29" s="27"/>
      <c r="FZ29" s="27"/>
      <c r="GC29" s="92">
        <v>1</v>
      </c>
    </row>
    <row r="30" spans="1:185" s="2" customFormat="1" ht="21.6" customHeight="1" thickBot="1" x14ac:dyDescent="0.35">
      <c r="A30" s="40"/>
      <c r="B30" s="48" t="s">
        <v>63</v>
      </c>
      <c r="C30" s="20">
        <v>1</v>
      </c>
      <c r="D30" s="63">
        <v>45922</v>
      </c>
      <c r="E30" s="63">
        <v>45931</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93"/>
      <c r="FF30" s="98"/>
      <c r="FG30" s="95"/>
      <c r="FH30" s="27"/>
      <c r="FI30" s="27"/>
      <c r="FJ30" s="27"/>
      <c r="FK30" s="27"/>
      <c r="FL30" s="27"/>
      <c r="FM30" s="27"/>
      <c r="FN30" s="27"/>
      <c r="FO30" s="27"/>
      <c r="FP30" s="27"/>
      <c r="FQ30" s="27"/>
      <c r="FR30" s="27"/>
      <c r="FS30" s="27"/>
      <c r="FT30" s="27"/>
      <c r="FU30" s="27"/>
      <c r="FV30" s="27"/>
      <c r="FW30" s="27"/>
      <c r="FX30" s="27"/>
      <c r="FY30" s="27"/>
      <c r="FZ30" s="27"/>
      <c r="GC30" s="92">
        <v>1</v>
      </c>
    </row>
    <row r="31" spans="1:185" s="2" customFormat="1" ht="21.6" customHeight="1" thickBot="1" x14ac:dyDescent="0.35">
      <c r="A31" s="40"/>
      <c r="B31" s="48" t="s">
        <v>65</v>
      </c>
      <c r="C31" s="20">
        <v>1</v>
      </c>
      <c r="D31" s="63">
        <v>45908</v>
      </c>
      <c r="E31" s="63">
        <v>45916</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93"/>
      <c r="FF31" s="98"/>
      <c r="FG31" s="95"/>
      <c r="FH31" s="27"/>
      <c r="FI31" s="27"/>
      <c r="FJ31" s="27"/>
      <c r="FK31" s="27"/>
      <c r="FL31" s="27"/>
      <c r="FM31" s="27"/>
      <c r="FN31" s="27"/>
      <c r="FO31" s="27"/>
      <c r="FP31" s="27"/>
      <c r="FQ31" s="27"/>
      <c r="FR31" s="27"/>
      <c r="FS31" s="27"/>
      <c r="FT31" s="27"/>
      <c r="FU31" s="27"/>
      <c r="FV31" s="27"/>
      <c r="FW31" s="27"/>
      <c r="FX31" s="27"/>
      <c r="FY31" s="27"/>
      <c r="FZ31" s="27"/>
      <c r="GC31" s="92">
        <v>1</v>
      </c>
    </row>
    <row r="32" spans="1:185" s="2" customFormat="1" ht="21.6" customHeight="1" thickBot="1" x14ac:dyDescent="0.35">
      <c r="A32" s="40"/>
      <c r="B32" s="48" t="s">
        <v>66</v>
      </c>
      <c r="C32" s="20">
        <v>1</v>
      </c>
      <c r="D32" s="63">
        <v>45995</v>
      </c>
      <c r="E32" s="63">
        <v>46006</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93"/>
      <c r="FF32" s="98"/>
      <c r="FG32" s="95"/>
      <c r="FH32" s="27"/>
      <c r="FI32" s="27"/>
      <c r="FJ32" s="27"/>
      <c r="FK32" s="27"/>
      <c r="FL32" s="27"/>
      <c r="FM32" s="27"/>
      <c r="FN32" s="27"/>
      <c r="FO32" s="27"/>
      <c r="FP32" s="27"/>
      <c r="FQ32" s="27"/>
      <c r="FR32" s="27"/>
      <c r="FS32" s="27"/>
      <c r="FT32" s="27"/>
      <c r="FU32" s="27"/>
      <c r="FV32" s="27"/>
      <c r="FW32" s="27"/>
      <c r="FX32" s="27"/>
      <c r="FY32" s="27"/>
      <c r="FZ32" s="27"/>
      <c r="GC32" s="92">
        <v>1</v>
      </c>
    </row>
    <row r="33" spans="1:185" s="2" customFormat="1" ht="21.6" customHeight="1" thickBot="1" x14ac:dyDescent="0.35">
      <c r="A33" s="40"/>
      <c r="B33" s="48" t="s">
        <v>67</v>
      </c>
      <c r="C33" s="20">
        <v>1</v>
      </c>
      <c r="D33" s="63">
        <v>45971</v>
      </c>
      <c r="E33" s="63">
        <v>45998</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93"/>
      <c r="FF33" s="98"/>
      <c r="FG33" s="95"/>
      <c r="FH33" s="27"/>
      <c r="FI33" s="27"/>
      <c r="FJ33" s="27"/>
      <c r="FK33" s="27"/>
      <c r="FL33" s="27"/>
      <c r="FM33" s="27"/>
      <c r="FN33" s="27"/>
      <c r="FO33" s="27"/>
      <c r="FP33" s="27"/>
      <c r="FQ33" s="27"/>
      <c r="FR33" s="27"/>
      <c r="FS33" s="27"/>
      <c r="FT33" s="27"/>
      <c r="FU33" s="27"/>
      <c r="FV33" s="27"/>
      <c r="FW33" s="27"/>
      <c r="FX33" s="27"/>
      <c r="FY33" s="27"/>
      <c r="FZ33" s="27"/>
      <c r="GC33" s="92">
        <v>1</v>
      </c>
    </row>
    <row r="34" spans="1:185" s="2" customFormat="1" ht="21.6" customHeight="1" thickBot="1" x14ac:dyDescent="0.35">
      <c r="A34" s="40"/>
      <c r="B34" s="48" t="s">
        <v>68</v>
      </c>
      <c r="C34" s="20">
        <v>1</v>
      </c>
      <c r="D34" s="63">
        <v>45971</v>
      </c>
      <c r="E34" s="63">
        <v>45991</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93"/>
      <c r="FF34" s="98"/>
      <c r="FG34" s="95"/>
      <c r="FH34" s="27"/>
      <c r="FI34" s="27"/>
      <c r="FJ34" s="27"/>
      <c r="FK34" s="27"/>
      <c r="FL34" s="27"/>
      <c r="FM34" s="27"/>
      <c r="FN34" s="27"/>
      <c r="FO34" s="27"/>
      <c r="FP34" s="27"/>
      <c r="FQ34" s="27"/>
      <c r="FR34" s="27"/>
      <c r="FS34" s="27"/>
      <c r="FT34" s="27"/>
      <c r="FU34" s="27"/>
      <c r="FV34" s="27"/>
      <c r="FW34" s="27"/>
      <c r="FX34" s="27"/>
      <c r="FY34" s="27"/>
      <c r="FZ34" s="27"/>
      <c r="GC34" s="92">
        <v>1</v>
      </c>
    </row>
    <row r="35" spans="1:185" s="2" customFormat="1" ht="21.6" customHeight="1" thickBot="1" x14ac:dyDescent="0.35">
      <c r="A35" s="40"/>
      <c r="B35" s="48" t="s">
        <v>69</v>
      </c>
      <c r="C35" s="20">
        <v>1</v>
      </c>
      <c r="D35" s="63">
        <v>45986</v>
      </c>
      <c r="E35" s="63">
        <v>45991</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93"/>
      <c r="FF35" s="98"/>
      <c r="FG35" s="95"/>
      <c r="FH35" s="27"/>
      <c r="FI35" s="27"/>
      <c r="FJ35" s="27"/>
      <c r="FK35" s="27"/>
      <c r="FL35" s="27"/>
      <c r="FM35" s="27"/>
      <c r="FN35" s="27"/>
      <c r="FO35" s="27"/>
      <c r="FP35" s="27"/>
      <c r="FQ35" s="27"/>
      <c r="FR35" s="27"/>
      <c r="FS35" s="27"/>
      <c r="FT35" s="27"/>
      <c r="FU35" s="27"/>
      <c r="FV35" s="27"/>
      <c r="FW35" s="27"/>
      <c r="FX35" s="27"/>
      <c r="FY35" s="27"/>
      <c r="FZ35" s="27"/>
      <c r="GC35" s="92">
        <v>1</v>
      </c>
    </row>
    <row r="36" spans="1:185" s="2" customFormat="1" ht="21.6" customHeight="1" thickBot="1" x14ac:dyDescent="0.35">
      <c r="A36" s="40"/>
      <c r="B36" s="48" t="s">
        <v>103</v>
      </c>
      <c r="C36" s="20">
        <v>0.8</v>
      </c>
      <c r="D36" s="63">
        <v>46010</v>
      </c>
      <c r="E36" s="63">
        <v>46027</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93"/>
      <c r="FF36" s="98"/>
      <c r="FG36" s="95"/>
      <c r="FH36" s="27"/>
      <c r="FI36" s="27"/>
      <c r="FJ36" s="27"/>
      <c r="FK36" s="27"/>
      <c r="FL36" s="27"/>
      <c r="FM36" s="27"/>
      <c r="FN36" s="27"/>
      <c r="FO36" s="27"/>
      <c r="FP36" s="27"/>
      <c r="FQ36" s="27"/>
      <c r="FR36" s="27"/>
      <c r="FS36" s="27"/>
      <c r="FT36" s="27"/>
      <c r="FU36" s="27"/>
      <c r="FV36" s="27"/>
      <c r="FW36" s="27"/>
      <c r="FX36" s="27"/>
      <c r="FY36" s="27"/>
      <c r="FZ36" s="27"/>
      <c r="GC36" s="92"/>
    </row>
    <row r="37" spans="1:185" s="2" customFormat="1" ht="21.6" customHeight="1" thickBot="1" x14ac:dyDescent="0.35">
      <c r="A37" s="40"/>
      <c r="B37" s="48" t="s">
        <v>104</v>
      </c>
      <c r="C37" s="20">
        <v>1</v>
      </c>
      <c r="D37" s="63">
        <v>45992</v>
      </c>
      <c r="E37" s="63">
        <v>46007</v>
      </c>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93"/>
      <c r="FF37" s="98"/>
      <c r="FG37" s="95"/>
      <c r="FH37" s="27"/>
      <c r="FI37" s="27"/>
      <c r="FJ37" s="27"/>
      <c r="FK37" s="27"/>
      <c r="FL37" s="27"/>
      <c r="FM37" s="27"/>
      <c r="FN37" s="27"/>
      <c r="FO37" s="27"/>
      <c r="FP37" s="27"/>
      <c r="FQ37" s="27"/>
      <c r="FR37" s="27"/>
      <c r="FS37" s="27"/>
      <c r="FT37" s="27"/>
      <c r="FU37" s="27"/>
      <c r="FV37" s="27"/>
      <c r="FW37" s="27"/>
      <c r="FX37" s="27"/>
      <c r="FY37" s="27"/>
      <c r="FZ37" s="27"/>
      <c r="GC37" s="92"/>
    </row>
    <row r="38" spans="1:185" s="2" customFormat="1" ht="21.6" customHeight="1" thickBot="1" x14ac:dyDescent="0.35">
      <c r="A38" s="40"/>
      <c r="B38" s="48" t="s">
        <v>105</v>
      </c>
      <c r="C38" s="20">
        <v>0</v>
      </c>
      <c r="D38" s="63">
        <v>46027</v>
      </c>
      <c r="E38" s="63">
        <v>46036</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93"/>
      <c r="FF38" s="98"/>
      <c r="FG38" s="95"/>
      <c r="FH38" s="27"/>
      <c r="FI38" s="27"/>
      <c r="FJ38" s="27"/>
      <c r="FK38" s="27"/>
      <c r="FL38" s="27"/>
      <c r="FM38" s="27"/>
      <c r="FN38" s="27"/>
      <c r="FO38" s="27"/>
      <c r="FP38" s="27"/>
      <c r="FQ38" s="27"/>
      <c r="FR38" s="27"/>
      <c r="FS38" s="27"/>
      <c r="FT38" s="27"/>
      <c r="FU38" s="27"/>
      <c r="FV38" s="27"/>
      <c r="FW38" s="27"/>
      <c r="FX38" s="27"/>
      <c r="FY38" s="27"/>
      <c r="FZ38" s="27"/>
      <c r="GC38" s="92"/>
    </row>
    <row r="39" spans="1:185" s="2" customFormat="1" ht="21.6" customHeight="1" thickBot="1" x14ac:dyDescent="0.35">
      <c r="A39" s="40"/>
      <c r="B39" s="48"/>
      <c r="C39" s="20"/>
      <c r="D39" s="63"/>
      <c r="E39" s="63"/>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93"/>
      <c r="FF39" s="98"/>
      <c r="FG39" s="95"/>
      <c r="FH39" s="27"/>
      <c r="FI39" s="27"/>
      <c r="FJ39" s="27"/>
      <c r="FK39" s="27"/>
      <c r="FL39" s="27"/>
      <c r="FM39" s="27"/>
      <c r="FN39" s="27"/>
      <c r="FO39" s="27"/>
      <c r="FP39" s="27"/>
      <c r="FQ39" s="27"/>
      <c r="FR39" s="27"/>
      <c r="FS39" s="27"/>
      <c r="FT39" s="27"/>
      <c r="FU39" s="27"/>
      <c r="FV39" s="27"/>
      <c r="FW39" s="27"/>
      <c r="FX39" s="27"/>
      <c r="FY39" s="27"/>
      <c r="FZ39" s="27"/>
      <c r="GC39" s="92">
        <v>1</v>
      </c>
    </row>
    <row r="40" spans="1:185" s="2" customFormat="1" ht="21.6" customHeight="1" thickBot="1" x14ac:dyDescent="0.35">
      <c r="A40" s="40"/>
      <c r="B40" s="21" t="s">
        <v>49</v>
      </c>
      <c r="C40" s="22"/>
      <c r="D40" s="64"/>
      <c r="E40" s="65"/>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93"/>
      <c r="FF40" s="98"/>
      <c r="FG40" s="95"/>
      <c r="FH40" s="27"/>
      <c r="FI40" s="27"/>
      <c r="FJ40" s="27"/>
      <c r="FK40" s="27"/>
      <c r="FL40" s="27"/>
      <c r="FM40" s="27"/>
      <c r="FN40" s="27"/>
      <c r="FO40" s="27"/>
      <c r="FP40" s="27"/>
      <c r="FQ40" s="27"/>
      <c r="FR40" s="27"/>
      <c r="FS40" s="27"/>
      <c r="FT40" s="27"/>
      <c r="FU40" s="27"/>
      <c r="FV40" s="27"/>
      <c r="FW40" s="27"/>
      <c r="FX40" s="27"/>
      <c r="FY40" s="27"/>
      <c r="FZ40" s="27"/>
      <c r="GC40" s="92">
        <v>1</v>
      </c>
    </row>
    <row r="41" spans="1:185" s="2" customFormat="1" ht="21.6" customHeight="1" thickBot="1" x14ac:dyDescent="0.35">
      <c r="A41" s="40"/>
      <c r="B41" s="49" t="s">
        <v>70</v>
      </c>
      <c r="C41" s="23">
        <v>0</v>
      </c>
      <c r="D41" s="66">
        <v>45978</v>
      </c>
      <c r="E41" s="66">
        <f>D41+4</f>
        <v>45982</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93"/>
      <c r="FF41" s="98"/>
      <c r="FG41" s="95"/>
      <c r="FH41" s="27"/>
      <c r="FI41" s="27"/>
      <c r="FJ41" s="27"/>
      <c r="FK41" s="27"/>
      <c r="FL41" s="27"/>
      <c r="FM41" s="27"/>
      <c r="FN41" s="27"/>
      <c r="FO41" s="27"/>
      <c r="FP41" s="27"/>
      <c r="FQ41" s="27"/>
      <c r="FR41" s="27"/>
      <c r="FS41" s="27"/>
      <c r="FT41" s="27"/>
      <c r="FU41" s="27"/>
      <c r="FV41" s="27"/>
      <c r="FW41" s="27"/>
      <c r="FX41" s="27"/>
      <c r="FY41" s="27"/>
      <c r="FZ41" s="27"/>
      <c r="GC41" s="92">
        <v>1</v>
      </c>
    </row>
    <row r="42" spans="1:185" s="2" customFormat="1" ht="21.6" customHeight="1" thickBot="1" x14ac:dyDescent="0.35">
      <c r="A42" s="40"/>
      <c r="B42" s="49" t="s">
        <v>71</v>
      </c>
      <c r="C42" s="23">
        <v>0</v>
      </c>
      <c r="D42" s="66">
        <v>46034</v>
      </c>
      <c r="E42" s="66">
        <v>46037</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93"/>
      <c r="FF42" s="98"/>
      <c r="FG42" s="95"/>
      <c r="FH42" s="27"/>
      <c r="FI42" s="27"/>
      <c r="FJ42" s="27"/>
      <c r="FK42" s="27"/>
      <c r="FL42" s="27"/>
      <c r="FM42" s="27"/>
      <c r="FN42" s="27"/>
      <c r="FO42" s="27"/>
      <c r="FP42" s="27"/>
      <c r="FQ42" s="27"/>
      <c r="FR42" s="27"/>
      <c r="FS42" s="27"/>
      <c r="FT42" s="27"/>
      <c r="FU42" s="27"/>
      <c r="FV42" s="27"/>
      <c r="FW42" s="27"/>
      <c r="FX42" s="27"/>
      <c r="FY42" s="27"/>
      <c r="FZ42" s="27"/>
      <c r="GC42" s="92">
        <v>1</v>
      </c>
    </row>
    <row r="43" spans="1:185" s="2" customFormat="1" ht="21.6" customHeight="1" thickBot="1" x14ac:dyDescent="0.35">
      <c r="A43" s="40"/>
      <c r="B43" s="49" t="s">
        <v>76</v>
      </c>
      <c r="C43" s="23">
        <v>0.4</v>
      </c>
      <c r="D43" s="66">
        <v>45901</v>
      </c>
      <c r="E43" s="66">
        <v>46055</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93"/>
      <c r="FF43" s="98"/>
      <c r="FG43" s="95"/>
      <c r="FH43" s="27"/>
      <c r="FI43" s="27"/>
      <c r="FJ43" s="27"/>
      <c r="FK43" s="27"/>
      <c r="FL43" s="27"/>
      <c r="FM43" s="27"/>
      <c r="FN43" s="27"/>
      <c r="FO43" s="27"/>
      <c r="FP43" s="27"/>
      <c r="FQ43" s="27"/>
      <c r="FR43" s="27"/>
      <c r="FS43" s="27"/>
      <c r="FT43" s="27"/>
      <c r="FU43" s="27"/>
      <c r="FV43" s="27"/>
      <c r="FW43" s="27"/>
      <c r="FX43" s="27"/>
      <c r="FY43" s="27"/>
      <c r="FZ43" s="27"/>
      <c r="GC43" s="92">
        <v>1</v>
      </c>
    </row>
    <row r="44" spans="1:185" s="2" customFormat="1" ht="21.6" customHeight="1" thickBot="1" x14ac:dyDescent="0.35">
      <c r="A44" s="40"/>
      <c r="B44" s="49"/>
      <c r="C44" s="23"/>
      <c r="D44" s="66">
        <v>45901</v>
      </c>
      <c r="E44" s="66"/>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93"/>
      <c r="FF44" s="98"/>
      <c r="FG44" s="95"/>
      <c r="FH44" s="27"/>
      <c r="FI44" s="27"/>
      <c r="FJ44" s="27"/>
      <c r="FK44" s="27"/>
      <c r="FL44" s="27"/>
      <c r="FM44" s="27"/>
      <c r="FN44" s="27"/>
      <c r="FO44" s="27"/>
      <c r="FP44" s="27"/>
      <c r="FQ44" s="27"/>
      <c r="FR44" s="27"/>
      <c r="FS44" s="27"/>
      <c r="FT44" s="27"/>
      <c r="FU44" s="27"/>
      <c r="FV44" s="27"/>
      <c r="FW44" s="27"/>
      <c r="FX44" s="27"/>
      <c r="FY44" s="27"/>
      <c r="FZ44" s="27"/>
      <c r="GC44" s="92">
        <v>1</v>
      </c>
    </row>
    <row r="45" spans="1:185" s="2" customFormat="1" ht="21.6" customHeight="1" thickBot="1" x14ac:dyDescent="0.35">
      <c r="A45" s="40"/>
      <c r="B45" s="49"/>
      <c r="C45" s="23"/>
      <c r="D45" s="66"/>
      <c r="E45" s="66"/>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93"/>
      <c r="FF45" s="98"/>
      <c r="FG45" s="95"/>
      <c r="FH45" s="27"/>
      <c r="FI45" s="27"/>
      <c r="FJ45" s="27"/>
      <c r="FK45" s="27"/>
      <c r="FL45" s="27"/>
      <c r="FM45" s="27"/>
      <c r="FN45" s="27"/>
      <c r="FO45" s="27"/>
      <c r="FP45" s="27"/>
      <c r="FQ45" s="27"/>
      <c r="FR45" s="27"/>
      <c r="FS45" s="27"/>
      <c r="FT45" s="27"/>
      <c r="FU45" s="27"/>
      <c r="FV45" s="27"/>
      <c r="FW45" s="27"/>
      <c r="FX45" s="27"/>
      <c r="FY45" s="27"/>
      <c r="FZ45" s="27"/>
      <c r="GC45" s="92">
        <v>1</v>
      </c>
    </row>
    <row r="46" spans="1:185" s="2" customFormat="1" ht="21.6" customHeight="1" thickBot="1" x14ac:dyDescent="0.35">
      <c r="A46" s="40"/>
      <c r="B46" s="49"/>
      <c r="C46" s="23"/>
      <c r="D46" s="66"/>
      <c r="E46" s="66"/>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93"/>
      <c r="FF46" s="98"/>
      <c r="FG46" s="95"/>
      <c r="FH46" s="27"/>
      <c r="FI46" s="27"/>
      <c r="FJ46" s="27"/>
      <c r="FK46" s="27"/>
      <c r="FL46" s="27"/>
      <c r="FM46" s="27"/>
      <c r="FN46" s="27"/>
      <c r="FO46" s="27"/>
      <c r="FP46" s="27"/>
      <c r="FQ46" s="27"/>
      <c r="FR46" s="27"/>
      <c r="FS46" s="27"/>
      <c r="FT46" s="27"/>
      <c r="FU46" s="27"/>
      <c r="FV46" s="27"/>
      <c r="FW46" s="27"/>
      <c r="FX46" s="27"/>
      <c r="FY46" s="27"/>
      <c r="FZ46" s="27"/>
      <c r="GC46" s="92">
        <v>1</v>
      </c>
    </row>
    <row r="47" spans="1:185" s="2" customFormat="1" ht="21.6" customHeight="1" thickBot="1" x14ac:dyDescent="0.35">
      <c r="A47" s="40"/>
      <c r="B47" s="49"/>
      <c r="C47" s="23"/>
      <c r="D47" s="66"/>
      <c r="E47" s="66"/>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c r="EW47" s="27"/>
      <c r="EX47" s="27"/>
      <c r="EY47" s="27"/>
      <c r="EZ47" s="27"/>
      <c r="FA47" s="27"/>
      <c r="FB47" s="27"/>
      <c r="FC47" s="27"/>
      <c r="FD47" s="27"/>
      <c r="FE47" s="93"/>
      <c r="FF47" s="98"/>
      <c r="FG47" s="95"/>
      <c r="FH47" s="27"/>
      <c r="FI47" s="27"/>
      <c r="FJ47" s="27"/>
      <c r="FK47" s="27"/>
      <c r="FL47" s="27"/>
      <c r="FM47" s="27"/>
      <c r="FN47" s="27"/>
      <c r="FO47" s="27"/>
      <c r="FP47" s="27"/>
      <c r="FQ47" s="27"/>
      <c r="FR47" s="27"/>
      <c r="FS47" s="27"/>
      <c r="FT47" s="27"/>
      <c r="FU47" s="27"/>
      <c r="FV47" s="27"/>
      <c r="FW47" s="27"/>
      <c r="FX47" s="27"/>
      <c r="FY47" s="27"/>
      <c r="FZ47" s="27"/>
      <c r="GC47" s="92">
        <v>1</v>
      </c>
    </row>
    <row r="48" spans="1:185" s="2" customFormat="1" ht="21.6" customHeight="1" thickBot="1" x14ac:dyDescent="0.35">
      <c r="A48" s="40"/>
      <c r="B48" s="49"/>
      <c r="C48" s="23"/>
      <c r="D48" s="66"/>
      <c r="E48" s="66"/>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93"/>
      <c r="FF48" s="98"/>
      <c r="FG48" s="95"/>
      <c r="FH48" s="27"/>
      <c r="FI48" s="27"/>
      <c r="FJ48" s="27"/>
      <c r="FK48" s="27"/>
      <c r="FL48" s="27"/>
      <c r="FM48" s="27"/>
      <c r="FN48" s="27"/>
      <c r="FO48" s="27"/>
      <c r="FP48" s="27"/>
      <c r="FQ48" s="27"/>
      <c r="FR48" s="27"/>
      <c r="FS48" s="27"/>
      <c r="FT48" s="27"/>
      <c r="FU48" s="27"/>
      <c r="FV48" s="27"/>
      <c r="FW48" s="27"/>
      <c r="FX48" s="27"/>
      <c r="FY48" s="27"/>
      <c r="FZ48" s="27"/>
      <c r="GC48" s="92">
        <v>1</v>
      </c>
    </row>
    <row r="49" spans="1:185" s="2" customFormat="1" ht="21.6" customHeight="1" thickBot="1" x14ac:dyDescent="0.35">
      <c r="A49" s="40"/>
      <c r="B49" s="49"/>
      <c r="C49" s="23"/>
      <c r="D49" s="66"/>
      <c r="E49" s="66"/>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93"/>
      <c r="FF49" s="98"/>
      <c r="FG49" s="95"/>
      <c r="FH49" s="27"/>
      <c r="FI49" s="27"/>
      <c r="FJ49" s="27"/>
      <c r="FK49" s="27"/>
      <c r="FL49" s="27"/>
      <c r="FM49" s="27"/>
      <c r="FN49" s="27"/>
      <c r="FO49" s="27"/>
      <c r="FP49" s="27"/>
      <c r="FQ49" s="27"/>
      <c r="FR49" s="27"/>
      <c r="FS49" s="27"/>
      <c r="FT49" s="27"/>
      <c r="FU49" s="27"/>
      <c r="FV49" s="27"/>
      <c r="FW49" s="27"/>
      <c r="FX49" s="27"/>
      <c r="FY49" s="27"/>
      <c r="FZ49" s="27"/>
      <c r="GC49" s="92">
        <v>1</v>
      </c>
    </row>
    <row r="50" spans="1:185" s="2" customFormat="1" ht="21.6" customHeight="1" thickBot="1" x14ac:dyDescent="0.35">
      <c r="A50" s="40"/>
      <c r="B50" s="84" t="s">
        <v>78</v>
      </c>
      <c r="C50" s="85"/>
      <c r="D50" s="86"/>
      <c r="E50" s="86"/>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93"/>
      <c r="FF50" s="98"/>
      <c r="FG50" s="95"/>
      <c r="FH50" s="27"/>
      <c r="FI50" s="27"/>
      <c r="FJ50" s="27"/>
      <c r="FK50" s="27"/>
      <c r="FL50" s="27"/>
      <c r="FM50" s="27"/>
      <c r="FN50" s="27"/>
      <c r="FO50" s="27"/>
      <c r="FP50" s="27"/>
      <c r="FQ50" s="27"/>
      <c r="FR50" s="27"/>
      <c r="FS50" s="27"/>
      <c r="FT50" s="27"/>
      <c r="FU50" s="27"/>
      <c r="FV50" s="27"/>
      <c r="FW50" s="27"/>
      <c r="FX50" s="27"/>
      <c r="FY50" s="27"/>
      <c r="FZ50" s="27"/>
      <c r="GC50" s="92">
        <v>1</v>
      </c>
    </row>
    <row r="51" spans="1:185" s="2" customFormat="1" ht="21.6" customHeight="1" thickBot="1" x14ac:dyDescent="0.35">
      <c r="A51" s="40"/>
      <c r="B51" s="47" t="s">
        <v>77</v>
      </c>
      <c r="C51" s="17">
        <v>1</v>
      </c>
      <c r="D51" s="60">
        <v>45901</v>
      </c>
      <c r="E51" s="60">
        <v>45901</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93"/>
      <c r="FF51" s="98"/>
      <c r="FG51" s="95"/>
      <c r="FH51" s="27"/>
      <c r="FI51" s="27"/>
      <c r="FJ51" s="27"/>
      <c r="FK51" s="27"/>
      <c r="FL51" s="27"/>
      <c r="FM51" s="27"/>
      <c r="FN51" s="27"/>
      <c r="FO51" s="27"/>
      <c r="FP51" s="27"/>
      <c r="FQ51" s="27"/>
      <c r="FR51" s="27"/>
      <c r="FS51" s="27"/>
      <c r="FT51" s="27"/>
      <c r="FU51" s="27"/>
      <c r="FV51" s="27"/>
      <c r="FW51" s="27"/>
      <c r="FX51" s="27"/>
      <c r="FY51" s="27"/>
      <c r="FZ51" s="27"/>
      <c r="GC51" s="92">
        <v>1</v>
      </c>
    </row>
    <row r="52" spans="1:185" s="2" customFormat="1" ht="21.6" customHeight="1" thickBot="1" x14ac:dyDescent="0.35">
      <c r="A52" s="40"/>
      <c r="B52" s="47"/>
      <c r="C52" s="17"/>
      <c r="D52" s="60"/>
      <c r="E52" s="60"/>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93"/>
      <c r="FF52" s="98"/>
      <c r="FG52" s="95"/>
      <c r="FH52" s="27"/>
      <c r="FI52" s="27"/>
      <c r="FJ52" s="27"/>
      <c r="FK52" s="27"/>
      <c r="FL52" s="27"/>
      <c r="FM52" s="27"/>
      <c r="FN52" s="27"/>
      <c r="FO52" s="27"/>
      <c r="FP52" s="27"/>
      <c r="FQ52" s="27"/>
      <c r="FR52" s="27"/>
      <c r="FS52" s="27"/>
      <c r="FT52" s="27"/>
      <c r="FU52" s="27"/>
      <c r="FV52" s="27"/>
      <c r="FW52" s="27"/>
      <c r="FX52" s="27"/>
      <c r="FY52" s="27"/>
      <c r="FZ52" s="27"/>
      <c r="GC52" s="92">
        <v>1</v>
      </c>
    </row>
    <row r="53" spans="1:185" s="2" customFormat="1" ht="21.6" customHeight="1" thickBot="1" x14ac:dyDescent="0.35">
      <c r="A53" s="40"/>
      <c r="B53" s="47"/>
      <c r="C53" s="17"/>
      <c r="D53" s="60"/>
      <c r="E53" s="60"/>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93"/>
      <c r="FF53" s="98"/>
      <c r="FG53" s="95"/>
      <c r="FH53" s="27"/>
      <c r="FI53" s="27"/>
      <c r="FJ53" s="27"/>
      <c r="FK53" s="27"/>
      <c r="FL53" s="27"/>
      <c r="FM53" s="27"/>
      <c r="FN53" s="27"/>
      <c r="FO53" s="27"/>
      <c r="FP53" s="27"/>
      <c r="FQ53" s="27"/>
      <c r="FR53" s="27"/>
      <c r="FS53" s="27"/>
      <c r="FT53" s="27"/>
      <c r="FU53" s="27"/>
      <c r="FV53" s="27"/>
      <c r="FW53" s="27"/>
      <c r="FX53" s="27"/>
      <c r="FY53" s="27"/>
      <c r="FZ53" s="27"/>
      <c r="GC53" s="92">
        <v>1</v>
      </c>
    </row>
    <row r="54" spans="1:185" s="2" customFormat="1" ht="21.6" customHeight="1" thickBot="1" x14ac:dyDescent="0.35">
      <c r="A54" s="40"/>
      <c r="B54" s="47"/>
      <c r="C54" s="17"/>
      <c r="D54" s="60"/>
      <c r="E54" s="60"/>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93"/>
      <c r="FF54" s="98"/>
      <c r="FG54" s="95"/>
      <c r="FH54" s="27"/>
      <c r="FI54" s="27"/>
      <c r="FJ54" s="27"/>
      <c r="FK54" s="27"/>
      <c r="FL54" s="27"/>
      <c r="FM54" s="27"/>
      <c r="FN54" s="27"/>
      <c r="FO54" s="27"/>
      <c r="FP54" s="27"/>
      <c r="FQ54" s="27"/>
      <c r="FR54" s="27"/>
      <c r="FS54" s="27"/>
      <c r="FT54" s="27"/>
      <c r="FU54" s="27"/>
      <c r="FV54" s="27"/>
      <c r="FW54" s="27"/>
      <c r="FX54" s="27"/>
      <c r="FY54" s="27"/>
      <c r="FZ54" s="27"/>
      <c r="GC54" s="92">
        <v>1</v>
      </c>
    </row>
    <row r="55" spans="1:185" s="2" customFormat="1" ht="21.6" customHeight="1" thickBot="1" x14ac:dyDescent="0.35">
      <c r="A55" s="40"/>
      <c r="B55" s="47"/>
      <c r="C55" s="17"/>
      <c r="D55" s="60"/>
      <c r="E55" s="60"/>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93"/>
      <c r="FF55" s="98"/>
      <c r="FG55" s="95"/>
      <c r="FH55" s="27"/>
      <c r="FI55" s="27"/>
      <c r="FJ55" s="27"/>
      <c r="FK55" s="27"/>
      <c r="FL55" s="27"/>
      <c r="FM55" s="27"/>
      <c r="FN55" s="27"/>
      <c r="FO55" s="27"/>
      <c r="FP55" s="27"/>
      <c r="FQ55" s="27"/>
      <c r="FR55" s="27"/>
      <c r="FS55" s="27"/>
      <c r="FT55" s="27"/>
      <c r="FU55" s="27"/>
      <c r="FV55" s="27"/>
      <c r="FW55" s="27"/>
      <c r="FX55" s="27"/>
      <c r="FY55" s="27"/>
      <c r="FZ55" s="27"/>
      <c r="GC55" s="92">
        <v>1</v>
      </c>
    </row>
    <row r="56" spans="1:185" s="2" customFormat="1" ht="21.6" customHeight="1" thickBot="1" x14ac:dyDescent="0.35">
      <c r="A56" s="40"/>
      <c r="B56" s="47"/>
      <c r="C56" s="17"/>
      <c r="D56" s="60"/>
      <c r="E56" s="60"/>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93"/>
      <c r="FF56" s="98"/>
      <c r="FG56" s="95"/>
      <c r="FH56" s="27"/>
      <c r="FI56" s="27"/>
      <c r="FJ56" s="27"/>
      <c r="FK56" s="27"/>
      <c r="FL56" s="27"/>
      <c r="FM56" s="27"/>
      <c r="FN56" s="27"/>
      <c r="FO56" s="27"/>
      <c r="FP56" s="27"/>
      <c r="FQ56" s="27"/>
      <c r="FR56" s="27"/>
      <c r="FS56" s="27"/>
      <c r="FT56" s="27"/>
      <c r="FU56" s="27"/>
      <c r="FV56" s="27"/>
      <c r="FW56" s="27"/>
      <c r="FX56" s="27"/>
      <c r="FY56" s="27"/>
      <c r="FZ56" s="27"/>
      <c r="GC56" s="92">
        <v>1</v>
      </c>
    </row>
    <row r="57" spans="1:185" s="2" customFormat="1" ht="21.6" customHeight="1" thickBot="1" x14ac:dyDescent="0.35">
      <c r="A57" s="40"/>
      <c r="B57" s="47"/>
      <c r="C57" s="17"/>
      <c r="D57" s="60"/>
      <c r="E57" s="60"/>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93"/>
      <c r="FF57" s="98"/>
      <c r="FG57" s="95"/>
      <c r="FH57" s="27"/>
      <c r="FI57" s="27"/>
      <c r="FJ57" s="27"/>
      <c r="FK57" s="27"/>
      <c r="FL57" s="27"/>
      <c r="FM57" s="27"/>
      <c r="FN57" s="27"/>
      <c r="FO57" s="27"/>
      <c r="FP57" s="27"/>
      <c r="FQ57" s="27"/>
      <c r="FR57" s="27"/>
      <c r="FS57" s="27"/>
      <c r="FT57" s="27"/>
      <c r="FU57" s="27"/>
      <c r="FV57" s="27"/>
      <c r="FW57" s="27"/>
      <c r="FX57" s="27"/>
      <c r="FY57" s="27"/>
      <c r="FZ57" s="27"/>
      <c r="GC57" s="92">
        <v>1</v>
      </c>
    </row>
    <row r="58" spans="1:185" s="2" customFormat="1" ht="21.6" customHeight="1" thickBot="1" x14ac:dyDescent="0.35">
      <c r="A58" s="40"/>
      <c r="B58" s="47"/>
      <c r="C58" s="17"/>
      <c r="D58" s="60"/>
      <c r="E58" s="60"/>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93"/>
      <c r="FF58" s="98"/>
      <c r="FG58" s="95"/>
      <c r="FH58" s="27"/>
      <c r="FI58" s="27"/>
      <c r="FJ58" s="27"/>
      <c r="FK58" s="27"/>
      <c r="FL58" s="27"/>
      <c r="FM58" s="27"/>
      <c r="FN58" s="27"/>
      <c r="FO58" s="27"/>
      <c r="FP58" s="27"/>
      <c r="FQ58" s="27"/>
      <c r="FR58" s="27"/>
      <c r="FS58" s="27"/>
      <c r="FT58" s="27"/>
      <c r="FU58" s="27"/>
      <c r="FV58" s="27"/>
      <c r="FW58" s="27"/>
      <c r="FX58" s="27"/>
      <c r="FY58" s="27"/>
      <c r="FZ58" s="27"/>
      <c r="GC58" s="92">
        <v>1</v>
      </c>
    </row>
    <row r="59" spans="1:185" s="2" customFormat="1" ht="21.6" customHeight="1" thickBot="1" x14ac:dyDescent="0.35">
      <c r="A59" s="40"/>
      <c r="B59" s="47"/>
      <c r="C59" s="17"/>
      <c r="D59" s="60"/>
      <c r="E59" s="60"/>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93"/>
      <c r="FF59" s="98"/>
      <c r="FG59" s="95"/>
      <c r="FH59" s="27"/>
      <c r="FI59" s="27"/>
      <c r="FJ59" s="27"/>
      <c r="FK59" s="27"/>
      <c r="FL59" s="27"/>
      <c r="FM59" s="27"/>
      <c r="FN59" s="27"/>
      <c r="FO59" s="27"/>
      <c r="FP59" s="27"/>
      <c r="FQ59" s="27"/>
      <c r="FR59" s="27"/>
      <c r="FS59" s="27"/>
      <c r="FT59" s="27"/>
      <c r="FU59" s="27"/>
      <c r="FV59" s="27"/>
      <c r="FW59" s="27"/>
      <c r="FX59" s="27"/>
      <c r="FY59" s="27"/>
      <c r="FZ59" s="27"/>
      <c r="GC59" s="92">
        <v>1</v>
      </c>
    </row>
    <row r="60" spans="1:185" s="2" customFormat="1" ht="21.6" customHeight="1" thickBot="1" x14ac:dyDescent="0.35">
      <c r="A60" s="40"/>
      <c r="B60" s="47"/>
      <c r="C60" s="17"/>
      <c r="D60" s="60"/>
      <c r="E60" s="60"/>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c r="EN60" s="27"/>
      <c r="EO60" s="27"/>
      <c r="EP60" s="27"/>
      <c r="EQ60" s="27"/>
      <c r="ER60" s="27"/>
      <c r="ES60" s="27"/>
      <c r="ET60" s="27"/>
      <c r="EU60" s="27"/>
      <c r="EV60" s="27"/>
      <c r="EW60" s="27"/>
      <c r="EX60" s="27"/>
      <c r="EY60" s="27"/>
      <c r="EZ60" s="27"/>
      <c r="FA60" s="27"/>
      <c r="FB60" s="27"/>
      <c r="FC60" s="27"/>
      <c r="FD60" s="27"/>
      <c r="FE60" s="93"/>
      <c r="FF60" s="98"/>
      <c r="FG60" s="95"/>
      <c r="FH60" s="27"/>
      <c r="FI60" s="27"/>
      <c r="FJ60" s="27"/>
      <c r="FK60" s="27"/>
      <c r="FL60" s="27"/>
      <c r="FM60" s="27"/>
      <c r="FN60" s="27"/>
      <c r="FO60" s="27"/>
      <c r="FP60" s="27"/>
      <c r="FQ60" s="27"/>
      <c r="FR60" s="27"/>
      <c r="FS60" s="27"/>
      <c r="FT60" s="27"/>
      <c r="FU60" s="27"/>
      <c r="FV60" s="27"/>
      <c r="FW60" s="27"/>
      <c r="FX60" s="27"/>
      <c r="FY60" s="27"/>
      <c r="FZ60" s="27"/>
      <c r="GC60" s="92">
        <v>1</v>
      </c>
    </row>
    <row r="61" spans="1:185" s="2" customFormat="1" ht="30" customHeight="1" thickBot="1" x14ac:dyDescent="0.35">
      <c r="A61" s="40"/>
      <c r="B61" s="50"/>
      <c r="C61" s="10"/>
      <c r="D61" s="67"/>
      <c r="E61" s="67"/>
      <c r="F61" s="11"/>
      <c r="G61" s="11" t="str">
        <f t="shared" ref="G61:G62" si="124">IF(OR(ISBLANK(task_start),ISBLANK(task_end)),"",task_end-task_start+1)</f>
        <v/>
      </c>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93"/>
      <c r="FF61" s="98"/>
      <c r="FG61" s="95"/>
      <c r="FH61" s="27"/>
      <c r="FI61" s="27"/>
      <c r="FJ61" s="27"/>
      <c r="FK61" s="27"/>
      <c r="FL61" s="27"/>
      <c r="FM61" s="27"/>
      <c r="FN61" s="27"/>
      <c r="FO61" s="27"/>
      <c r="FP61" s="27"/>
      <c r="FQ61" s="27"/>
      <c r="FR61" s="27"/>
      <c r="FS61" s="27"/>
      <c r="FT61" s="27"/>
      <c r="FU61" s="27"/>
      <c r="FV61" s="27"/>
      <c r="FW61" s="27"/>
      <c r="FX61" s="27"/>
      <c r="FY61" s="27"/>
      <c r="FZ61" s="27"/>
      <c r="GC61" s="92">
        <v>1</v>
      </c>
    </row>
    <row r="62" spans="1:185" s="2" customFormat="1" ht="30" customHeight="1" thickBot="1" x14ac:dyDescent="0.35">
      <c r="A62" s="41"/>
      <c r="B62" s="24" t="s">
        <v>1</v>
      </c>
      <c r="C62" s="25"/>
      <c r="D62" s="68"/>
      <c r="E62" s="69"/>
      <c r="F62" s="26"/>
      <c r="G62" s="26" t="str">
        <f t="shared" si="124"/>
        <v/>
      </c>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94"/>
      <c r="FF62" s="98"/>
      <c r="FG62" s="96"/>
      <c r="FH62" s="28"/>
      <c r="FI62" s="28"/>
      <c r="FJ62" s="28"/>
      <c r="FK62" s="28"/>
      <c r="FL62" s="28"/>
      <c r="FM62" s="28"/>
      <c r="FN62" s="28"/>
      <c r="FO62" s="28"/>
      <c r="FP62" s="28"/>
      <c r="FQ62" s="28"/>
      <c r="FR62" s="28"/>
      <c r="FS62" s="28"/>
      <c r="FT62" s="28"/>
      <c r="FU62" s="28"/>
      <c r="FV62" s="28"/>
      <c r="FW62" s="28"/>
      <c r="FX62" s="28"/>
      <c r="FY62" s="28"/>
      <c r="FZ62" s="28"/>
      <c r="GC62" s="92">
        <v>1</v>
      </c>
    </row>
    <row r="63" spans="1:185" ht="30" customHeight="1" x14ac:dyDescent="0.3">
      <c r="F63" s="5"/>
      <c r="FG63" s="99"/>
      <c r="GC63" s="92">
        <v>1</v>
      </c>
    </row>
    <row r="64" spans="1:185" ht="30" customHeight="1" x14ac:dyDescent="0.3">
      <c r="E64" s="42"/>
      <c r="FG64" s="99"/>
      <c r="GC64" s="92">
        <v>1</v>
      </c>
    </row>
    <row r="65" spans="1:185" ht="30" customHeight="1" x14ac:dyDescent="0.3">
      <c r="GC65" s="92">
        <v>1</v>
      </c>
    </row>
    <row r="66" spans="1:185" ht="30" customHeight="1" x14ac:dyDescent="0.3">
      <c r="A66" s="92">
        <v>1</v>
      </c>
      <c r="B66" s="92">
        <v>1</v>
      </c>
      <c r="C66" s="92">
        <v>1</v>
      </c>
      <c r="D66" s="92">
        <v>1</v>
      </c>
      <c r="E66" s="92">
        <v>1</v>
      </c>
      <c r="F66" s="92">
        <v>1</v>
      </c>
      <c r="G66" s="92">
        <v>1</v>
      </c>
      <c r="H66" s="92">
        <v>1</v>
      </c>
      <c r="I66" s="92">
        <v>1</v>
      </c>
      <c r="J66" s="92">
        <v>1</v>
      </c>
      <c r="K66" s="92">
        <v>1</v>
      </c>
      <c r="L66" s="92">
        <v>1</v>
      </c>
      <c r="M66" s="92">
        <v>1</v>
      </c>
      <c r="N66" s="92">
        <v>1</v>
      </c>
      <c r="O66" s="92">
        <v>1</v>
      </c>
      <c r="P66" s="92">
        <v>1</v>
      </c>
      <c r="Q66" s="92">
        <v>1</v>
      </c>
      <c r="R66" s="92">
        <v>1</v>
      </c>
      <c r="S66" s="92">
        <v>1</v>
      </c>
      <c r="T66" s="92">
        <v>1</v>
      </c>
      <c r="U66" s="92">
        <v>1</v>
      </c>
      <c r="V66" s="92">
        <v>1</v>
      </c>
      <c r="W66" s="92">
        <v>1</v>
      </c>
      <c r="X66" s="92">
        <v>1</v>
      </c>
      <c r="Y66" s="92">
        <v>1</v>
      </c>
      <c r="Z66" s="92">
        <v>1</v>
      </c>
      <c r="AA66" s="92">
        <v>1</v>
      </c>
      <c r="AB66" s="92">
        <v>1</v>
      </c>
      <c r="AC66" s="92">
        <v>1</v>
      </c>
      <c r="AD66" s="92">
        <v>1</v>
      </c>
      <c r="AE66" s="92">
        <v>1</v>
      </c>
      <c r="AF66" s="92">
        <v>1</v>
      </c>
      <c r="AG66" s="92">
        <v>1</v>
      </c>
      <c r="AH66" s="92">
        <v>1</v>
      </c>
      <c r="AI66" s="92">
        <v>1</v>
      </c>
      <c r="AJ66" s="92">
        <v>1</v>
      </c>
      <c r="AK66" s="92">
        <v>1</v>
      </c>
      <c r="AL66" s="92">
        <v>1</v>
      </c>
      <c r="AM66" s="92">
        <v>1</v>
      </c>
      <c r="AN66" s="92">
        <v>1</v>
      </c>
      <c r="AO66" s="92">
        <v>1</v>
      </c>
      <c r="AP66" s="92">
        <v>1</v>
      </c>
      <c r="AQ66" s="92">
        <v>1</v>
      </c>
      <c r="AR66" s="92">
        <v>1</v>
      </c>
      <c r="AS66" s="92">
        <v>1</v>
      </c>
      <c r="AT66" s="92">
        <v>1</v>
      </c>
      <c r="AU66" s="92">
        <v>1</v>
      </c>
      <c r="AV66" s="92">
        <v>1</v>
      </c>
      <c r="AW66" s="92">
        <v>1</v>
      </c>
      <c r="AX66" s="92">
        <v>1</v>
      </c>
      <c r="AY66" s="92">
        <v>1</v>
      </c>
      <c r="AZ66" s="92">
        <v>1</v>
      </c>
      <c r="BA66" s="92">
        <v>1</v>
      </c>
      <c r="BB66" s="92">
        <v>1</v>
      </c>
      <c r="BC66" s="92">
        <v>1</v>
      </c>
      <c r="BD66" s="92">
        <v>1</v>
      </c>
      <c r="BE66" s="92">
        <v>1</v>
      </c>
      <c r="BF66" s="92">
        <v>1</v>
      </c>
      <c r="BG66" s="92">
        <v>1</v>
      </c>
      <c r="BH66" s="92">
        <v>1</v>
      </c>
      <c r="BI66" s="92">
        <v>1</v>
      </c>
      <c r="BJ66" s="92">
        <v>1</v>
      </c>
      <c r="BK66" s="92">
        <v>1</v>
      </c>
      <c r="BL66" s="92">
        <v>1</v>
      </c>
      <c r="BM66" s="92">
        <v>1</v>
      </c>
      <c r="BN66" s="92">
        <v>1</v>
      </c>
      <c r="BO66" s="92">
        <v>1</v>
      </c>
      <c r="BP66" s="92">
        <v>1</v>
      </c>
      <c r="BQ66" s="92">
        <v>1</v>
      </c>
      <c r="BR66" s="92">
        <v>1</v>
      </c>
      <c r="BS66" s="92">
        <v>1</v>
      </c>
      <c r="BT66" s="92">
        <v>1</v>
      </c>
      <c r="BU66" s="92">
        <v>1</v>
      </c>
      <c r="BV66" s="92">
        <v>1</v>
      </c>
      <c r="BW66" s="92">
        <v>1</v>
      </c>
      <c r="BX66" s="92">
        <v>1</v>
      </c>
      <c r="BY66" s="92">
        <v>1</v>
      </c>
      <c r="BZ66" s="92">
        <v>1</v>
      </c>
      <c r="CA66" s="92">
        <v>1</v>
      </c>
      <c r="CB66" s="92">
        <v>1</v>
      </c>
      <c r="CC66" s="92">
        <v>1</v>
      </c>
      <c r="CD66" s="92">
        <v>1</v>
      </c>
      <c r="CE66" s="92">
        <v>1</v>
      </c>
      <c r="CF66" s="92">
        <v>1</v>
      </c>
      <c r="CG66" s="92">
        <v>1</v>
      </c>
      <c r="CH66" s="92">
        <v>1</v>
      </c>
      <c r="CI66" s="92">
        <v>1</v>
      </c>
      <c r="CJ66" s="92">
        <v>1</v>
      </c>
      <c r="CK66" s="92">
        <v>1</v>
      </c>
      <c r="CL66" s="92">
        <v>1</v>
      </c>
      <c r="CM66" s="92">
        <v>1</v>
      </c>
      <c r="CN66" s="92">
        <v>1</v>
      </c>
      <c r="CO66" s="92">
        <v>1</v>
      </c>
      <c r="CP66" s="92">
        <v>1</v>
      </c>
      <c r="CQ66" s="92">
        <v>1</v>
      </c>
      <c r="CR66" s="92">
        <v>1</v>
      </c>
      <c r="CS66" s="92">
        <v>1</v>
      </c>
      <c r="CT66" s="92">
        <v>1</v>
      </c>
      <c r="CU66" s="92">
        <v>1</v>
      </c>
      <c r="CV66" s="92">
        <v>1</v>
      </c>
      <c r="CW66" s="92">
        <v>1</v>
      </c>
      <c r="CX66" s="92">
        <v>1</v>
      </c>
      <c r="CY66" s="92">
        <v>1</v>
      </c>
      <c r="CZ66" s="92">
        <v>1</v>
      </c>
      <c r="DA66" s="92">
        <v>1</v>
      </c>
      <c r="DB66" s="92">
        <v>1</v>
      </c>
      <c r="DC66" s="92">
        <v>1</v>
      </c>
      <c r="DD66" s="92">
        <v>1</v>
      </c>
      <c r="DE66" s="92">
        <v>1</v>
      </c>
      <c r="DF66" s="92">
        <v>1</v>
      </c>
      <c r="DG66" s="92">
        <v>1</v>
      </c>
      <c r="DH66" s="92">
        <v>1</v>
      </c>
      <c r="DI66" s="92">
        <v>1</v>
      </c>
      <c r="DJ66" s="92">
        <v>1</v>
      </c>
      <c r="DK66" s="92">
        <v>1</v>
      </c>
      <c r="DL66" s="92">
        <v>1</v>
      </c>
      <c r="DM66" s="92">
        <v>1</v>
      </c>
      <c r="DN66" s="92">
        <v>1</v>
      </c>
      <c r="DO66" s="92">
        <v>1</v>
      </c>
      <c r="DP66" s="92">
        <v>1</v>
      </c>
      <c r="DQ66" s="92">
        <v>1</v>
      </c>
      <c r="DR66" s="92">
        <v>1</v>
      </c>
      <c r="DS66" s="92">
        <v>1</v>
      </c>
      <c r="DT66" s="92">
        <v>1</v>
      </c>
      <c r="DU66" s="92">
        <v>1</v>
      </c>
      <c r="DV66" s="92">
        <v>1</v>
      </c>
      <c r="DW66" s="92">
        <v>1</v>
      </c>
      <c r="DX66" s="92">
        <v>1</v>
      </c>
      <c r="DY66" s="92">
        <v>1</v>
      </c>
      <c r="DZ66" s="92">
        <v>1</v>
      </c>
      <c r="EA66" s="92">
        <v>1</v>
      </c>
      <c r="EB66" s="92">
        <v>1</v>
      </c>
      <c r="EC66" s="92">
        <v>1</v>
      </c>
      <c r="ED66" s="92">
        <v>1</v>
      </c>
      <c r="EE66" s="92">
        <v>1</v>
      </c>
      <c r="EF66" s="92">
        <v>1</v>
      </c>
      <c r="EG66" s="92">
        <v>1</v>
      </c>
      <c r="EH66" s="92">
        <v>1</v>
      </c>
      <c r="EI66" s="92">
        <v>1</v>
      </c>
      <c r="EJ66" s="92">
        <v>1</v>
      </c>
      <c r="EK66" s="92">
        <v>1</v>
      </c>
      <c r="EL66" s="92">
        <v>1</v>
      </c>
      <c r="EM66" s="92">
        <v>1</v>
      </c>
      <c r="EN66" s="92">
        <v>1</v>
      </c>
      <c r="EO66" s="92">
        <v>1</v>
      </c>
      <c r="EP66" s="92">
        <v>1</v>
      </c>
      <c r="EQ66" s="92">
        <v>1</v>
      </c>
      <c r="ER66" s="92">
        <v>1</v>
      </c>
      <c r="ES66" s="92">
        <v>1</v>
      </c>
      <c r="ET66" s="92">
        <v>1</v>
      </c>
      <c r="EU66" s="92">
        <v>1</v>
      </c>
      <c r="EV66" s="92">
        <v>1</v>
      </c>
      <c r="EW66" s="92">
        <v>1</v>
      </c>
      <c r="EX66" s="92">
        <v>1</v>
      </c>
      <c r="EY66" s="92">
        <v>1</v>
      </c>
      <c r="EZ66" s="92">
        <v>1</v>
      </c>
      <c r="FA66" s="92">
        <v>1</v>
      </c>
      <c r="FB66" s="92">
        <v>1</v>
      </c>
      <c r="FC66" s="92">
        <v>1</v>
      </c>
      <c r="FD66" s="92">
        <v>1</v>
      </c>
      <c r="FE66" s="92">
        <v>1</v>
      </c>
      <c r="FF66" s="92">
        <v>1</v>
      </c>
      <c r="FG66" s="92">
        <v>1</v>
      </c>
      <c r="FH66" s="92">
        <v>1</v>
      </c>
      <c r="FI66" s="92">
        <v>1</v>
      </c>
      <c r="FJ66" s="92">
        <v>1</v>
      </c>
      <c r="FK66" s="92">
        <v>1</v>
      </c>
      <c r="FL66" s="92">
        <v>1</v>
      </c>
      <c r="FM66" s="92">
        <v>1</v>
      </c>
      <c r="FN66" s="92">
        <v>1</v>
      </c>
      <c r="FO66" s="92">
        <v>1</v>
      </c>
      <c r="FP66" s="92">
        <v>1</v>
      </c>
      <c r="FQ66" s="92">
        <v>1</v>
      </c>
      <c r="FR66" s="92">
        <v>1</v>
      </c>
      <c r="FS66" s="92">
        <v>1</v>
      </c>
      <c r="FT66" s="92">
        <v>1</v>
      </c>
      <c r="FU66" s="92">
        <v>1</v>
      </c>
      <c r="FV66" s="92">
        <v>1</v>
      </c>
      <c r="FW66" s="92">
        <v>1</v>
      </c>
      <c r="FX66" s="92">
        <v>1</v>
      </c>
      <c r="FY66" s="92">
        <v>1</v>
      </c>
      <c r="FZ66" s="92">
        <v>1</v>
      </c>
      <c r="GA66" s="92">
        <v>1</v>
      </c>
      <c r="GB66" s="92">
        <v>1</v>
      </c>
      <c r="GC66" s="92">
        <v>1</v>
      </c>
    </row>
    <row r="70" spans="1:185" ht="30" customHeight="1" x14ac:dyDescent="0.3">
      <c r="D70" s="101"/>
    </row>
    <row r="71" spans="1:185" ht="30" customHeight="1" x14ac:dyDescent="0.3">
      <c r="B71" t="s">
        <v>41</v>
      </c>
    </row>
    <row r="72" spans="1:185" ht="30" customHeight="1" x14ac:dyDescent="0.3">
      <c r="B72" t="s">
        <v>42</v>
      </c>
      <c r="D72" s="102"/>
      <c r="E72" s="103"/>
    </row>
    <row r="73" spans="1:185" ht="30" customHeight="1" x14ac:dyDescent="0.3">
      <c r="B73" t="s">
        <v>43</v>
      </c>
      <c r="E73" s="104"/>
    </row>
    <row r="74" spans="1:185" ht="30" customHeight="1" x14ac:dyDescent="0.3">
      <c r="B74" t="s">
        <v>44</v>
      </c>
    </row>
    <row r="75" spans="1:185" ht="30" customHeight="1" x14ac:dyDescent="0.3">
      <c r="B75" t="s">
        <v>45</v>
      </c>
    </row>
    <row r="76" spans="1:185" ht="30" customHeight="1" x14ac:dyDescent="0.3">
      <c r="B76" t="s">
        <v>46</v>
      </c>
    </row>
    <row r="77" spans="1:185" ht="30" customHeight="1" x14ac:dyDescent="0.3">
      <c r="B77" t="s">
        <v>47</v>
      </c>
    </row>
    <row r="78" spans="1:185" ht="30" customHeight="1" x14ac:dyDescent="0.3">
      <c r="B78" t="s">
        <v>48</v>
      </c>
    </row>
  </sheetData>
  <mergeCells count="28">
    <mergeCell ref="EY4:FE4"/>
    <mergeCell ref="FF4:FL4"/>
    <mergeCell ref="FM4:FS4"/>
    <mergeCell ref="FT4:FZ4"/>
    <mergeCell ref="BO3:BY3"/>
    <mergeCell ref="DP3:EC3"/>
    <mergeCell ref="BS4:BY4"/>
    <mergeCell ref="BZ4:CF4"/>
    <mergeCell ref="CG4:CM4"/>
    <mergeCell ref="CN4:CT4"/>
    <mergeCell ref="CU4:DA4"/>
    <mergeCell ref="DB4:DH4"/>
    <mergeCell ref="DI4:DO4"/>
    <mergeCell ref="DP4:DV4"/>
    <mergeCell ref="DW4:EC4"/>
    <mergeCell ref="ED4:EJ4"/>
    <mergeCell ref="EK4:EQ4"/>
    <mergeCell ref="ER4:EX4"/>
    <mergeCell ref="D3:E3"/>
    <mergeCell ref="H4:N4"/>
    <mergeCell ref="O4:U4"/>
    <mergeCell ref="V4:AB4"/>
    <mergeCell ref="AC4:AI4"/>
    <mergeCell ref="AJ4:AP4"/>
    <mergeCell ref="AQ4:AW4"/>
    <mergeCell ref="AX4:BD4"/>
    <mergeCell ref="BE4:BK4"/>
    <mergeCell ref="BL4:BR4"/>
  </mergeCells>
  <phoneticPr fontId="33" type="noConversion"/>
  <conditionalFormatting sqref="C7:C62">
    <cfRule type="dataBar" priority="1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C7 F8:FZ60 H61:BC62 BE5:BJ6 BL5:BQ6 BS5:BX6 BZ5:CE6 CG5:CL6 CN5:CS6 CU5:CZ6 DB5:DG6 DI5:DN6 DP5:DU6 DW5:EB6 ED5:EI6 EK5:EP6 ER5:EW6 EY5:FD6 FF5:FK6 FM5:FR6 FT5:FY6">
    <cfRule type="expression" dxfId="26" priority="38">
      <formula>AND(TODAY()&gt;=F$5,TODAY()&lt;G$5)</formula>
    </cfRule>
  </conditionalFormatting>
  <conditionalFormatting sqref="H7:BC7 F8:FZ60 H61:BC62">
    <cfRule type="expression" dxfId="25" priority="33" stopIfTrue="1">
      <formula>AND(task_end&gt;=F$5,task_start&lt;G$5)</formula>
    </cfRule>
  </conditionalFormatting>
  <conditionalFormatting sqref="H7:FZ7 F8:FZ60 H61:FZ62">
    <cfRule type="expression" dxfId="24" priority="32">
      <formula>AND(task_start&lt;=F$5,ROUNDDOWN((task_end-task_start+1)*task_progress,0)+task_start-1&gt;=F$5)</formula>
    </cfRule>
  </conditionalFormatting>
  <conditionalFormatting sqref="BD5:BD6 BD7:BJ7 BZ7:CE7 CU7:CZ7 DB7:DG7 DI7:DN7 BD61:BJ62 BZ61:CE62 CU61:CZ62 DB61:DG62 DI61:DN62">
    <cfRule type="expression" dxfId="23" priority="376">
      <formula>AND(TODAY()&gt;=BD$5,TODAY()&lt;#REF!)</formula>
    </cfRule>
  </conditionalFormatting>
  <conditionalFormatting sqref="BD7:BJ7 BZ7:CE7 CU7:CZ7 DB7:DG7 DI7:DN7 BD61:BJ62 BZ61:CE62 CU61:CZ62 DB61:DG62 DI61:DN62">
    <cfRule type="expression" dxfId="22" priority="418" stopIfTrue="1">
      <formula>AND(task_end&gt;=BD$5,task_start&lt;#REF!)</formula>
    </cfRule>
  </conditionalFormatting>
  <conditionalFormatting sqref="BK5:BK6 BR5:BR6 BY5:BY6 CF5:CF6 CM5:CM6 CT5:CT6 DA5:DA6 DH5:DH6 DO5:DO6 DV5:DV6 EC5:EC6 EJ5:EJ6 EQ5:EQ6 EX5:EX6 FE5:FE6 FL5:FL6 FS5:FS6 FZ5:FZ6 BK7:BY7 BK61:BY62">
    <cfRule type="expression" dxfId="21" priority="378">
      <formula>AND(TODAY()&gt;=BK$5,TODAY()&lt;GA$5)</formula>
    </cfRule>
  </conditionalFormatting>
  <conditionalFormatting sqref="BK7:BY7 BK61:BY62">
    <cfRule type="expression" dxfId="20" priority="442" stopIfTrue="1">
      <formula>AND(task_end&gt;=BK$5,task_start&lt;GA$5)</formula>
    </cfRule>
  </conditionalFormatting>
  <conditionalFormatting sqref="CF7:CT7 CF61:CT62">
    <cfRule type="expression" dxfId="19" priority="428">
      <formula>AND(TODAY()&gt;=CF$5,TODAY()&lt;GA$5)</formula>
    </cfRule>
    <cfRule type="expression" dxfId="18" priority="438" stopIfTrue="1">
      <formula>AND(task_end&gt;=CF$5,task_start&lt;GA$5)</formula>
    </cfRule>
  </conditionalFormatting>
  <conditionalFormatting sqref="DA7 DA61:DA62">
    <cfRule type="expression" dxfId="17" priority="319">
      <formula>AND(TODAY()&gt;=DA$5,TODAY()&lt;GA$5)</formula>
    </cfRule>
    <cfRule type="expression" dxfId="16" priority="321" stopIfTrue="1">
      <formula>AND(task_end&gt;=DA$5,task_start&lt;GA$5)</formula>
    </cfRule>
  </conditionalFormatting>
  <conditionalFormatting sqref="DH7 DH61:DH62">
    <cfRule type="expression" dxfId="15" priority="272">
      <formula>AND(TODAY()&gt;=DH$5,TODAY()&lt;GA$5)</formula>
    </cfRule>
    <cfRule type="expression" dxfId="14" priority="274" stopIfTrue="1">
      <formula>AND(task_end&gt;=DH$5,task_start&lt;GA$5)</formula>
    </cfRule>
  </conditionalFormatting>
  <conditionalFormatting sqref="DO7:DV7 DO61:DV62">
    <cfRule type="expression" dxfId="13" priority="235">
      <formula>AND(TODAY()&gt;=DO$5,TODAY()&lt;GA$5)</formula>
    </cfRule>
    <cfRule type="expression" dxfId="12" priority="237" stopIfTrue="1">
      <formula>AND(task_end&gt;=DO$5,task_start&lt;GA$5)</formula>
    </cfRule>
  </conditionalFormatting>
  <conditionalFormatting sqref="DW7:EC7 DW61:EC62">
    <cfRule type="expression" dxfId="11" priority="198">
      <formula>AND(TODAY()&gt;=DW$5,TODAY()&lt;GB$5)</formula>
    </cfRule>
    <cfRule type="expression" dxfId="10" priority="200" stopIfTrue="1">
      <formula>AND(task_end&gt;=DW$5,task_start&lt;GB$5)</formula>
    </cfRule>
  </conditionalFormatting>
  <conditionalFormatting sqref="ED7:EQ7 ED61:EQ62">
    <cfRule type="expression" dxfId="9" priority="161">
      <formula>AND(TODAY()&gt;=ED$5,TODAY()&lt;GB$5)</formula>
    </cfRule>
    <cfRule type="expression" dxfId="8" priority="163" stopIfTrue="1">
      <formula>AND(task_end&gt;=ED$5,task_start&lt;GB$5)</formula>
    </cfRule>
  </conditionalFormatting>
  <conditionalFormatting sqref="ER7:EX7 ER61:EX62">
    <cfRule type="expression" dxfId="7" priority="128">
      <formula>AND(TODAY()&gt;=ER$5,TODAY()&lt;GI$5)</formula>
    </cfRule>
    <cfRule type="expression" dxfId="6" priority="130" stopIfTrue="1">
      <formula>AND(task_end&gt;=ER$5,task_start&lt;GI$5)</formula>
    </cfRule>
  </conditionalFormatting>
  <conditionalFormatting sqref="EY7:FE7 EY61:FE62">
    <cfRule type="expression" dxfId="5" priority="103">
      <formula>AND(TODAY()&gt;=EY$5,TODAY()&lt;GI$5)</formula>
    </cfRule>
    <cfRule type="expression" dxfId="4" priority="105" stopIfTrue="1">
      <formula>AND(task_end&gt;=EY$5,task_start&lt;GI$5)</formula>
    </cfRule>
  </conditionalFormatting>
  <conditionalFormatting sqref="FF7:FS7 FF61:FS62">
    <cfRule type="expression" dxfId="3" priority="70">
      <formula>AND(TODAY()&gt;=FF$5,TODAY()&lt;GI$5)</formula>
    </cfRule>
    <cfRule type="expression" dxfId="2" priority="72" stopIfTrue="1">
      <formula>AND(task_end&gt;=FF$5,task_start&lt;GI$5)</formula>
    </cfRule>
  </conditionalFormatting>
  <conditionalFormatting sqref="FT7:FZ7 FT61:FZ62">
    <cfRule type="expression" dxfId="1" priority="397">
      <formula>AND(TODAY()&gt;=FT$5,TODAY()&lt;GP$5)</formula>
    </cfRule>
    <cfRule type="expression" dxfId="0" priority="399" stopIfTrue="1">
      <formula>AND(task_end&gt;=FT$5,task_start&lt;GP$5)</formula>
    </cfRule>
  </conditionalFormatting>
  <dataValidations disablePrompts="1" count="1">
    <dataValidation type="whole" operator="greaterThanOrEqual" allowBlank="1" showInputMessage="1" promptTitle="Weergegeven week" prompt="Als u dit getal wijzigt, scrolt u door de weergave van het Gantt-diagram." sqref="D4" xr:uid="{00000000-0002-0000-0000-000000000000}">
      <formula1>1</formula1>
    </dataValidation>
  </dataValidations>
  <hyperlinks>
    <hyperlink ref="H2" r:id="rId1" xr:uid="{00000000-0004-0000-0000-000000000000}"/>
    <hyperlink ref="H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6046-3957-429D-BA41-59B4EEE9D413}">
  <dimension ref="A5:Q76"/>
  <sheetViews>
    <sheetView tabSelected="1" topLeftCell="A71" zoomScale="115" zoomScaleNormal="115" workbookViewId="0">
      <selection activeCell="L74" sqref="L74"/>
    </sheetView>
  </sheetViews>
  <sheetFormatPr defaultRowHeight="14.4" x14ac:dyDescent="0.3"/>
  <cols>
    <col min="7" max="7" width="9.6640625" customWidth="1"/>
    <col min="9" max="9" width="10.88671875" customWidth="1"/>
  </cols>
  <sheetData>
    <row r="5" spans="2:7" x14ac:dyDescent="0.3">
      <c r="B5" s="117" t="s">
        <v>33</v>
      </c>
      <c r="C5" s="117"/>
      <c r="D5" s="117"/>
      <c r="E5" s="117"/>
      <c r="F5" s="117"/>
    </row>
    <row r="6" spans="2:7" x14ac:dyDescent="0.3">
      <c r="B6" t="s">
        <v>34</v>
      </c>
    </row>
    <row r="7" spans="2:7" x14ac:dyDescent="0.3">
      <c r="B7">
        <f>48/24</f>
        <v>2</v>
      </c>
      <c r="C7" s="79" t="s">
        <v>35</v>
      </c>
      <c r="E7" t="s">
        <v>36</v>
      </c>
    </row>
    <row r="9" spans="2:7" ht="57.6" x14ac:dyDescent="0.3">
      <c r="B9" s="80" t="s">
        <v>37</v>
      </c>
      <c r="C9" s="81" t="s">
        <v>38</v>
      </c>
      <c r="D9" s="81" t="s">
        <v>39</v>
      </c>
      <c r="E9" s="81" t="s">
        <v>40</v>
      </c>
      <c r="F9" s="81"/>
      <c r="G9" s="81"/>
    </row>
    <row r="10" spans="2:7" x14ac:dyDescent="0.3">
      <c r="B10" s="82">
        <v>10</v>
      </c>
      <c r="C10" s="4">
        <f>$C$6*B10</f>
        <v>0</v>
      </c>
      <c r="D10" s="83">
        <f>C10/600</f>
        <v>0</v>
      </c>
      <c r="E10" s="83">
        <f>C10/2400</f>
        <v>0</v>
      </c>
      <c r="F10" s="4"/>
      <c r="G10" s="4"/>
    </row>
    <row r="11" spans="2:7" x14ac:dyDescent="0.3">
      <c r="B11" s="82">
        <v>20</v>
      </c>
      <c r="C11" s="4">
        <f t="shared" ref="C11:C14" si="0">$C$6*B11</f>
        <v>0</v>
      </c>
      <c r="D11" s="83">
        <f t="shared" ref="D11:D14" si="1">C11/600</f>
        <v>0</v>
      </c>
      <c r="E11" s="83">
        <f t="shared" ref="E11:E14" si="2">C11/2400</f>
        <v>0</v>
      </c>
      <c r="F11" s="4"/>
      <c r="G11" s="4"/>
    </row>
    <row r="12" spans="2:7" x14ac:dyDescent="0.3">
      <c r="B12" s="82">
        <v>30</v>
      </c>
      <c r="C12" s="4">
        <f t="shared" si="0"/>
        <v>0</v>
      </c>
      <c r="D12" s="83">
        <f t="shared" si="1"/>
        <v>0</v>
      </c>
      <c r="E12" s="83">
        <f t="shared" si="2"/>
        <v>0</v>
      </c>
      <c r="F12" s="4"/>
      <c r="G12" s="4"/>
    </row>
    <row r="13" spans="2:7" x14ac:dyDescent="0.3">
      <c r="B13" s="82">
        <v>40</v>
      </c>
      <c r="C13" s="4">
        <f t="shared" si="0"/>
        <v>0</v>
      </c>
      <c r="D13" s="83">
        <f t="shared" si="1"/>
        <v>0</v>
      </c>
      <c r="E13" s="83">
        <f t="shared" si="2"/>
        <v>0</v>
      </c>
      <c r="F13" s="4"/>
      <c r="G13" s="4"/>
    </row>
    <row r="14" spans="2:7" x14ac:dyDescent="0.3">
      <c r="B14" s="82">
        <v>50</v>
      </c>
      <c r="C14" s="4">
        <f t="shared" si="0"/>
        <v>0</v>
      </c>
      <c r="D14" s="83">
        <f t="shared" si="1"/>
        <v>0</v>
      </c>
      <c r="E14" s="83">
        <f t="shared" si="2"/>
        <v>0</v>
      </c>
      <c r="F14" s="4"/>
      <c r="G14" s="4"/>
    </row>
    <row r="15" spans="2:7" x14ac:dyDescent="0.3">
      <c r="B15" s="82"/>
    </row>
    <row r="20" spans="2:9" x14ac:dyDescent="0.3">
      <c r="C20" t="s">
        <v>80</v>
      </c>
      <c r="E20">
        <v>1415</v>
      </c>
      <c r="F20" t="s">
        <v>81</v>
      </c>
    </row>
    <row r="22" spans="2:9" x14ac:dyDescent="0.3">
      <c r="B22" t="s">
        <v>87</v>
      </c>
      <c r="C22" t="s">
        <v>82</v>
      </c>
      <c r="D22" t="s">
        <v>83</v>
      </c>
      <c r="E22" t="s">
        <v>84</v>
      </c>
      <c r="F22" t="s">
        <v>86</v>
      </c>
      <c r="G22" t="s">
        <v>85</v>
      </c>
      <c r="H22" t="s">
        <v>89</v>
      </c>
      <c r="I22" t="s">
        <v>91</v>
      </c>
    </row>
    <row r="23" spans="2:9" x14ac:dyDescent="0.3">
      <c r="B23">
        <v>1</v>
      </c>
      <c r="C23">
        <v>0</v>
      </c>
      <c r="D23">
        <v>-59760</v>
      </c>
      <c r="E23">
        <f>C23-D23</f>
        <v>59760</v>
      </c>
      <c r="F23">
        <f>IF(E23 &lt; 0, E23*-1, E23)</f>
        <v>59760</v>
      </c>
      <c r="G23">
        <f>$E$20/F23</f>
        <v>2.3678045515394913E-2</v>
      </c>
      <c r="I23" t="s">
        <v>92</v>
      </c>
    </row>
    <row r="24" spans="2:9" x14ac:dyDescent="0.3">
      <c r="B24">
        <v>2</v>
      </c>
      <c r="C24">
        <v>-59760</v>
      </c>
      <c r="D24">
        <v>1238</v>
      </c>
      <c r="E24">
        <f>C24-D24</f>
        <v>-60998</v>
      </c>
      <c r="F24">
        <f t="shared" ref="F24:F37" si="3">IF(E24 &lt; 0, E24*-1, E24)</f>
        <v>60998</v>
      </c>
      <c r="G24">
        <f>$E$20/F24</f>
        <v>2.3197481884651955E-2</v>
      </c>
      <c r="I24" t="s">
        <v>92</v>
      </c>
    </row>
    <row r="25" spans="2:9" x14ac:dyDescent="0.3">
      <c r="B25">
        <v>3</v>
      </c>
      <c r="C25">
        <v>1239</v>
      </c>
      <c r="D25">
        <v>-21564</v>
      </c>
      <c r="E25">
        <f t="shared" ref="E25:E37" si="4">C25-D25</f>
        <v>22803</v>
      </c>
      <c r="F25">
        <f t="shared" si="3"/>
        <v>22803</v>
      </c>
      <c r="G25">
        <f t="shared" ref="G25:G37" si="5">$E$20/F25</f>
        <v>6.205323860895496E-2</v>
      </c>
      <c r="H25" t="s">
        <v>88</v>
      </c>
      <c r="I25" t="s">
        <v>92</v>
      </c>
    </row>
    <row r="26" spans="2:9" x14ac:dyDescent="0.3">
      <c r="B26">
        <v>4</v>
      </c>
      <c r="C26">
        <v>-21565</v>
      </c>
      <c r="D26">
        <v>54607</v>
      </c>
      <c r="E26">
        <f t="shared" si="4"/>
        <v>-76172</v>
      </c>
      <c r="F26">
        <f t="shared" si="3"/>
        <v>76172</v>
      </c>
      <c r="G26">
        <f t="shared" si="5"/>
        <v>1.8576379772094732E-2</v>
      </c>
      <c r="H26" t="s">
        <v>90</v>
      </c>
      <c r="I26" t="s">
        <v>92</v>
      </c>
    </row>
    <row r="27" spans="2:9" x14ac:dyDescent="0.3">
      <c r="B27">
        <v>5</v>
      </c>
      <c r="C27">
        <v>0</v>
      </c>
      <c r="D27">
        <v>-76162</v>
      </c>
      <c r="E27">
        <f t="shared" si="4"/>
        <v>76162</v>
      </c>
      <c r="F27">
        <f t="shared" si="3"/>
        <v>76162</v>
      </c>
      <c r="G27">
        <f t="shared" si="5"/>
        <v>1.8578818833539037E-2</v>
      </c>
      <c r="H27" t="s">
        <v>90</v>
      </c>
      <c r="I27" t="s">
        <v>92</v>
      </c>
    </row>
    <row r="28" spans="2:9" x14ac:dyDescent="0.3">
      <c r="B28">
        <v>6</v>
      </c>
      <c r="C28">
        <v>0</v>
      </c>
      <c r="D28">
        <v>76158</v>
      </c>
      <c r="E28">
        <f t="shared" si="4"/>
        <v>-76158</v>
      </c>
      <c r="F28">
        <f t="shared" si="3"/>
        <v>76158</v>
      </c>
      <c r="G28">
        <f t="shared" si="5"/>
        <v>1.857979463746422E-2</v>
      </c>
      <c r="H28" t="s">
        <v>90</v>
      </c>
      <c r="I28" t="s">
        <v>92</v>
      </c>
    </row>
    <row r="29" spans="2:9" x14ac:dyDescent="0.3">
      <c r="B29">
        <v>7</v>
      </c>
      <c r="C29">
        <v>0</v>
      </c>
      <c r="D29">
        <v>-38079</v>
      </c>
      <c r="E29">
        <f t="shared" si="4"/>
        <v>38079</v>
      </c>
      <c r="F29">
        <f t="shared" si="3"/>
        <v>38079</v>
      </c>
      <c r="G29">
        <f t="shared" si="5"/>
        <v>3.7159589274928441E-2</v>
      </c>
      <c r="H29" t="s">
        <v>88</v>
      </c>
      <c r="I29" t="s">
        <v>92</v>
      </c>
    </row>
    <row r="30" spans="2:9" x14ac:dyDescent="0.3">
      <c r="B30">
        <v>8</v>
      </c>
      <c r="C30">
        <v>24667</v>
      </c>
      <c r="D30">
        <v>-14384</v>
      </c>
      <c r="E30">
        <f t="shared" si="4"/>
        <v>39051</v>
      </c>
      <c r="F30">
        <f t="shared" si="3"/>
        <v>39051</v>
      </c>
      <c r="G30">
        <f t="shared" si="5"/>
        <v>3.6234667486107909E-2</v>
      </c>
      <c r="H30" t="s">
        <v>93</v>
      </c>
      <c r="I30" t="s">
        <v>94</v>
      </c>
    </row>
    <row r="31" spans="2:9" x14ac:dyDescent="0.3">
      <c r="B31">
        <v>9</v>
      </c>
      <c r="C31">
        <v>30256</v>
      </c>
      <c r="D31">
        <v>-24667</v>
      </c>
      <c r="E31">
        <f t="shared" si="4"/>
        <v>54923</v>
      </c>
      <c r="F31">
        <f t="shared" si="3"/>
        <v>54923</v>
      </c>
      <c r="G31">
        <f t="shared" si="5"/>
        <v>2.5763341405240062E-2</v>
      </c>
    </row>
    <row r="32" spans="2:9" x14ac:dyDescent="0.3">
      <c r="B32">
        <v>10</v>
      </c>
      <c r="C32">
        <v>30655</v>
      </c>
      <c r="D32">
        <v>-30256</v>
      </c>
      <c r="E32">
        <f t="shared" si="4"/>
        <v>60911</v>
      </c>
      <c r="F32">
        <f t="shared" si="3"/>
        <v>60911</v>
      </c>
      <c r="G32">
        <f t="shared" si="5"/>
        <v>2.3230615159823349E-2</v>
      </c>
    </row>
    <row r="33" spans="1:17" x14ac:dyDescent="0.3">
      <c r="B33">
        <v>11</v>
      </c>
      <c r="E33">
        <f t="shared" si="4"/>
        <v>0</v>
      </c>
      <c r="F33">
        <f t="shared" si="3"/>
        <v>0</v>
      </c>
      <c r="G33" t="e">
        <f t="shared" si="5"/>
        <v>#DIV/0!</v>
      </c>
    </row>
    <row r="34" spans="1:17" x14ac:dyDescent="0.3">
      <c r="B34">
        <v>12</v>
      </c>
      <c r="E34">
        <f t="shared" si="4"/>
        <v>0</v>
      </c>
      <c r="F34">
        <f t="shared" si="3"/>
        <v>0</v>
      </c>
      <c r="G34" t="e">
        <f t="shared" si="5"/>
        <v>#DIV/0!</v>
      </c>
    </row>
    <row r="35" spans="1:17" x14ac:dyDescent="0.3">
      <c r="B35">
        <v>13</v>
      </c>
      <c r="E35">
        <f t="shared" si="4"/>
        <v>0</v>
      </c>
      <c r="F35">
        <f t="shared" si="3"/>
        <v>0</v>
      </c>
      <c r="G35" t="e">
        <f t="shared" si="5"/>
        <v>#DIV/0!</v>
      </c>
    </row>
    <row r="36" spans="1:17" x14ac:dyDescent="0.3">
      <c r="B36">
        <v>14</v>
      </c>
      <c r="E36">
        <f t="shared" si="4"/>
        <v>0</v>
      </c>
      <c r="F36">
        <f t="shared" si="3"/>
        <v>0</v>
      </c>
      <c r="G36" t="e">
        <f t="shared" si="5"/>
        <v>#DIV/0!</v>
      </c>
    </row>
    <row r="37" spans="1:17" x14ac:dyDescent="0.3">
      <c r="B37">
        <v>15</v>
      </c>
      <c r="E37">
        <f t="shared" si="4"/>
        <v>0</v>
      </c>
      <c r="F37">
        <f t="shared" si="3"/>
        <v>0</v>
      </c>
      <c r="G37" t="e">
        <f t="shared" si="5"/>
        <v>#DIV/0!</v>
      </c>
    </row>
    <row r="42" spans="1:17" x14ac:dyDescent="0.3">
      <c r="C42" t="s">
        <v>81</v>
      </c>
      <c r="D42" t="s">
        <v>95</v>
      </c>
      <c r="E42" t="s">
        <v>96</v>
      </c>
      <c r="F42" t="s">
        <v>97</v>
      </c>
      <c r="G42" t="s">
        <v>98</v>
      </c>
      <c r="H42" t="s">
        <v>99</v>
      </c>
      <c r="I42" t="s">
        <v>100</v>
      </c>
    </row>
    <row r="43" spans="1:17" x14ac:dyDescent="0.3">
      <c r="C43">
        <v>20</v>
      </c>
      <c r="D43">
        <v>999</v>
      </c>
      <c r="E43">
        <v>2</v>
      </c>
      <c r="F43">
        <v>0</v>
      </c>
      <c r="G43">
        <f>D43-E43</f>
        <v>997</v>
      </c>
      <c r="H43">
        <f t="shared" ref="H43:H50" si="6">C43/G43</f>
        <v>2.0060180541624874E-2</v>
      </c>
      <c r="I43">
        <f>G43/C43</f>
        <v>49.85</v>
      </c>
    </row>
    <row r="44" spans="1:17" x14ac:dyDescent="0.3">
      <c r="A44" s="108"/>
      <c r="B44" s="108"/>
      <c r="C44" s="108">
        <v>165</v>
      </c>
      <c r="D44" s="108">
        <v>2</v>
      </c>
      <c r="E44" s="108">
        <v>9997</v>
      </c>
      <c r="F44" s="108">
        <v>10000</v>
      </c>
      <c r="G44" s="108">
        <f>E44-D44</f>
        <v>9995</v>
      </c>
      <c r="H44" s="108">
        <f t="shared" si="6"/>
        <v>1.6508254127063533E-2</v>
      </c>
      <c r="I44" s="108">
        <f t="shared" ref="I44:I54" si="7">G44/C44</f>
        <v>60.575757575757578</v>
      </c>
      <c r="J44" s="108"/>
      <c r="K44" s="108"/>
      <c r="L44" s="108"/>
      <c r="M44" s="108"/>
      <c r="N44" s="108"/>
      <c r="O44" s="108"/>
      <c r="P44" s="108"/>
      <c r="Q44" s="108"/>
    </row>
    <row r="45" spans="1:17" x14ac:dyDescent="0.3">
      <c r="A45" s="110" t="s">
        <v>101</v>
      </c>
      <c r="B45" s="110"/>
      <c r="C45" s="110">
        <v>500</v>
      </c>
      <c r="D45" s="110">
        <v>2</v>
      </c>
      <c r="E45" s="110">
        <v>-30002</v>
      </c>
      <c r="F45" s="110">
        <v>-30000</v>
      </c>
      <c r="G45" s="110">
        <f>D45-E45</f>
        <v>30004</v>
      </c>
      <c r="H45" s="110">
        <f t="shared" si="6"/>
        <v>1.666444474070124E-2</v>
      </c>
      <c r="I45" s="110">
        <f t="shared" si="7"/>
        <v>60.008000000000003</v>
      </c>
      <c r="J45" s="110"/>
      <c r="K45" s="110"/>
      <c r="L45" s="110"/>
      <c r="M45" s="110"/>
      <c r="N45" s="110"/>
      <c r="O45" s="110"/>
      <c r="P45" s="110"/>
      <c r="Q45" s="110"/>
    </row>
    <row r="46" spans="1:17" x14ac:dyDescent="0.3">
      <c r="C46" s="108">
        <v>165</v>
      </c>
      <c r="D46" s="108">
        <v>0</v>
      </c>
      <c r="E46" s="108">
        <v>9996</v>
      </c>
      <c r="F46" s="108">
        <v>10000</v>
      </c>
      <c r="G46" s="108">
        <f>E46</f>
        <v>9996</v>
      </c>
      <c r="H46" s="108">
        <f t="shared" si="6"/>
        <v>1.6506602641056422E-2</v>
      </c>
      <c r="I46">
        <f t="shared" si="7"/>
        <v>60.581818181818178</v>
      </c>
    </row>
    <row r="47" spans="1:17" x14ac:dyDescent="0.3">
      <c r="C47" s="108">
        <v>498</v>
      </c>
      <c r="D47" s="108">
        <v>0</v>
      </c>
      <c r="E47" s="108">
        <v>30001</v>
      </c>
      <c r="F47" s="108">
        <v>30000</v>
      </c>
      <c r="G47" s="108">
        <f>E47</f>
        <v>30001</v>
      </c>
      <c r="H47" s="108">
        <f t="shared" si="6"/>
        <v>1.6599446685110496E-2</v>
      </c>
      <c r="I47">
        <f t="shared" si="7"/>
        <v>60.242971887550198</v>
      </c>
    </row>
    <row r="48" spans="1:17" x14ac:dyDescent="0.3">
      <c r="C48" s="108">
        <v>997</v>
      </c>
      <c r="D48" s="109">
        <v>0</v>
      </c>
      <c r="E48" s="109">
        <v>60000</v>
      </c>
      <c r="F48" s="109">
        <v>60000</v>
      </c>
      <c r="G48" s="108">
        <v>60000</v>
      </c>
      <c r="H48" s="108">
        <f t="shared" si="6"/>
        <v>1.6616666666666665E-2</v>
      </c>
      <c r="I48">
        <f t="shared" si="7"/>
        <v>60.180541624874621</v>
      </c>
    </row>
    <row r="49" spans="1:9" x14ac:dyDescent="0.3">
      <c r="C49" s="109">
        <v>167</v>
      </c>
      <c r="D49" s="109">
        <v>0</v>
      </c>
      <c r="E49" s="109">
        <v>9998</v>
      </c>
      <c r="F49" s="109">
        <v>10000</v>
      </c>
      <c r="G49" s="108">
        <f t="shared" ref="G49:G54" si="8">E49</f>
        <v>9998</v>
      </c>
      <c r="H49" s="108">
        <f t="shared" si="6"/>
        <v>1.6703340668133625E-2</v>
      </c>
      <c r="I49">
        <f t="shared" si="7"/>
        <v>59.868263473053894</v>
      </c>
    </row>
    <row r="50" spans="1:9" x14ac:dyDescent="0.3">
      <c r="C50" s="109">
        <v>167</v>
      </c>
      <c r="D50" s="109">
        <v>0</v>
      </c>
      <c r="E50" s="109">
        <v>9998</v>
      </c>
      <c r="F50" s="109">
        <v>10000</v>
      </c>
      <c r="G50" s="108">
        <f t="shared" si="8"/>
        <v>9998</v>
      </c>
      <c r="H50" s="108">
        <f t="shared" si="6"/>
        <v>1.6703340668133625E-2</v>
      </c>
      <c r="I50">
        <f t="shared" si="7"/>
        <v>59.868263473053894</v>
      </c>
    </row>
    <row r="51" spans="1:9" x14ac:dyDescent="0.3">
      <c r="C51" s="109">
        <v>499</v>
      </c>
      <c r="D51" s="109">
        <v>0</v>
      </c>
      <c r="E51" s="109">
        <v>30000</v>
      </c>
      <c r="F51" s="109">
        <v>30000</v>
      </c>
      <c r="G51" s="109">
        <f t="shared" si="8"/>
        <v>30000</v>
      </c>
      <c r="H51" s="108">
        <f t="shared" ref="H51:H54" si="9">C51/G51</f>
        <v>1.6633333333333333E-2</v>
      </c>
      <c r="I51">
        <f t="shared" si="7"/>
        <v>60.120240480961925</v>
      </c>
    </row>
    <row r="52" spans="1:9" x14ac:dyDescent="0.3">
      <c r="C52" s="109">
        <v>499</v>
      </c>
      <c r="D52" s="109">
        <v>0</v>
      </c>
      <c r="E52" s="109">
        <v>29999</v>
      </c>
      <c r="F52" s="109">
        <v>30000</v>
      </c>
      <c r="G52" s="109">
        <f t="shared" si="8"/>
        <v>29999</v>
      </c>
      <c r="H52" s="108">
        <f t="shared" si="9"/>
        <v>1.6633887796259874E-2</v>
      </c>
      <c r="I52">
        <f t="shared" si="7"/>
        <v>60.118236472945888</v>
      </c>
    </row>
    <row r="53" spans="1:9" x14ac:dyDescent="0.3">
      <c r="C53" s="109">
        <v>997</v>
      </c>
      <c r="D53" s="109">
        <v>0</v>
      </c>
      <c r="E53" s="109">
        <v>60002</v>
      </c>
      <c r="F53" s="109">
        <v>60000</v>
      </c>
      <c r="G53" s="109">
        <f t="shared" si="8"/>
        <v>60002</v>
      </c>
      <c r="H53" s="108">
        <f t="shared" si="9"/>
        <v>1.6616112796240125E-2</v>
      </c>
      <c r="I53">
        <f t="shared" si="7"/>
        <v>60.182547642928789</v>
      </c>
    </row>
    <row r="54" spans="1:9" x14ac:dyDescent="0.3">
      <c r="C54" s="109">
        <v>996</v>
      </c>
      <c r="D54" s="109">
        <v>0</v>
      </c>
      <c r="E54" s="109">
        <v>59999</v>
      </c>
      <c r="F54" s="109">
        <v>60000</v>
      </c>
      <c r="G54" s="109">
        <f t="shared" si="8"/>
        <v>59999</v>
      </c>
      <c r="H54" s="108">
        <f t="shared" si="9"/>
        <v>1.6600276671277853E-2</v>
      </c>
      <c r="I54">
        <f>G54/C54</f>
        <v>60.239959839357432</v>
      </c>
    </row>
    <row r="55" spans="1:9" x14ac:dyDescent="0.3">
      <c r="G55" t="s">
        <v>110</v>
      </c>
    </row>
    <row r="56" spans="1:9" x14ac:dyDescent="0.3">
      <c r="A56" t="s">
        <v>106</v>
      </c>
      <c r="C56" t="s">
        <v>107</v>
      </c>
      <c r="D56" t="s">
        <v>108</v>
      </c>
      <c r="E56" t="s">
        <v>109</v>
      </c>
      <c r="F56" t="s">
        <v>110</v>
      </c>
      <c r="G56" t="s">
        <v>111</v>
      </c>
      <c r="H56" t="s">
        <v>99</v>
      </c>
      <c r="I56" t="s">
        <v>100</v>
      </c>
    </row>
    <row r="57" spans="1:9" x14ac:dyDescent="0.3">
      <c r="C57">
        <v>1000</v>
      </c>
      <c r="D57">
        <v>145.5</v>
      </c>
      <c r="E57" s="119">
        <v>134.30000000000001</v>
      </c>
      <c r="F57" s="119">
        <f>D57-E57</f>
        <v>11.199999999999989</v>
      </c>
      <c r="G57" s="103">
        <f>F57/C57*1000</f>
        <v>11.199999999999989</v>
      </c>
      <c r="H57" s="118">
        <f>(F57*10)/C57</f>
        <v>0.11199999999999989</v>
      </c>
      <c r="I57" s="118">
        <f>C57/(F57*10)</f>
        <v>8.9285714285714377</v>
      </c>
    </row>
    <row r="58" spans="1:9" x14ac:dyDescent="0.3">
      <c r="C58">
        <v>1000</v>
      </c>
      <c r="D58">
        <v>145.5</v>
      </c>
      <c r="E58" s="119">
        <v>130</v>
      </c>
      <c r="F58" s="119">
        <f t="shared" ref="F58:F71" si="10">D58-E58</f>
        <v>15.5</v>
      </c>
      <c r="G58" s="103">
        <f t="shared" ref="G58:G71" si="11">F58/C58*1000</f>
        <v>15.5</v>
      </c>
      <c r="H58" s="118">
        <f t="shared" ref="H58:H71" si="12">(F58*10)/C58</f>
        <v>0.155</v>
      </c>
      <c r="I58" s="118">
        <f t="shared" ref="I58:I70" si="13">C58/(F58*10)</f>
        <v>6.4516129032258061</v>
      </c>
    </row>
    <row r="59" spans="1:9" x14ac:dyDescent="0.3">
      <c r="C59">
        <v>1000</v>
      </c>
      <c r="D59">
        <v>145.5</v>
      </c>
      <c r="E59" s="119">
        <v>125.5</v>
      </c>
      <c r="F59" s="119">
        <f t="shared" si="10"/>
        <v>20</v>
      </c>
      <c r="G59" s="103">
        <f t="shared" si="11"/>
        <v>20</v>
      </c>
      <c r="H59" s="118">
        <f t="shared" si="12"/>
        <v>0.2</v>
      </c>
      <c r="I59" s="118">
        <f t="shared" si="13"/>
        <v>5</v>
      </c>
    </row>
    <row r="60" spans="1:9" x14ac:dyDescent="0.3">
      <c r="C60">
        <v>1000</v>
      </c>
      <c r="D60">
        <v>145.5</v>
      </c>
      <c r="E60" s="119">
        <v>125.5</v>
      </c>
      <c r="F60" s="119">
        <f t="shared" si="10"/>
        <v>20</v>
      </c>
      <c r="G60" s="103">
        <f t="shared" si="11"/>
        <v>20</v>
      </c>
      <c r="H60" s="118">
        <f t="shared" si="12"/>
        <v>0.2</v>
      </c>
      <c r="I60" s="118">
        <f t="shared" si="13"/>
        <v>5</v>
      </c>
    </row>
    <row r="61" spans="1:9" x14ac:dyDescent="0.3">
      <c r="C61">
        <v>1000</v>
      </c>
      <c r="D61">
        <v>145.5</v>
      </c>
      <c r="E61" s="119">
        <v>125.6</v>
      </c>
      <c r="F61" s="119">
        <f t="shared" si="10"/>
        <v>19.900000000000006</v>
      </c>
      <c r="G61" s="103">
        <f t="shared" si="11"/>
        <v>19.900000000000006</v>
      </c>
      <c r="H61" s="118">
        <f t="shared" si="12"/>
        <v>0.19900000000000007</v>
      </c>
      <c r="I61" s="118">
        <f t="shared" si="13"/>
        <v>5.0251256281407022</v>
      </c>
    </row>
    <row r="62" spans="1:9" x14ac:dyDescent="0.3">
      <c r="C62">
        <v>2000</v>
      </c>
      <c r="D62">
        <v>145.5</v>
      </c>
      <c r="E62" s="119">
        <v>106</v>
      </c>
      <c r="F62" s="119">
        <f t="shared" si="10"/>
        <v>39.5</v>
      </c>
      <c r="G62" s="103">
        <f t="shared" si="11"/>
        <v>19.75</v>
      </c>
      <c r="H62" s="118">
        <f t="shared" si="12"/>
        <v>0.19750000000000001</v>
      </c>
      <c r="I62" s="118">
        <f t="shared" si="13"/>
        <v>5.0632911392405067</v>
      </c>
    </row>
    <row r="63" spans="1:9" x14ac:dyDescent="0.3">
      <c r="C63">
        <v>2000</v>
      </c>
      <c r="D63">
        <v>145.5</v>
      </c>
      <c r="E63" s="119">
        <v>106.5</v>
      </c>
      <c r="F63" s="119">
        <f t="shared" si="10"/>
        <v>39</v>
      </c>
      <c r="G63" s="103">
        <f t="shared" si="11"/>
        <v>19.5</v>
      </c>
      <c r="H63" s="118">
        <f t="shared" si="12"/>
        <v>0.19500000000000001</v>
      </c>
      <c r="I63" s="118">
        <f t="shared" si="13"/>
        <v>5.1282051282051286</v>
      </c>
    </row>
    <row r="64" spans="1:9" x14ac:dyDescent="0.3">
      <c r="C64">
        <v>2000</v>
      </c>
      <c r="D64">
        <v>145.5</v>
      </c>
      <c r="E64" s="119">
        <v>106</v>
      </c>
      <c r="F64" s="119">
        <f t="shared" si="10"/>
        <v>39.5</v>
      </c>
      <c r="G64" s="103">
        <f t="shared" si="11"/>
        <v>19.75</v>
      </c>
      <c r="H64" s="118">
        <f t="shared" si="12"/>
        <v>0.19750000000000001</v>
      </c>
      <c r="I64" s="118">
        <f t="shared" si="13"/>
        <v>5.0632911392405067</v>
      </c>
    </row>
    <row r="65" spans="2:9" x14ac:dyDescent="0.3">
      <c r="C65">
        <v>2000</v>
      </c>
      <c r="D65">
        <v>145.5</v>
      </c>
      <c r="E65" s="119">
        <v>106.2</v>
      </c>
      <c r="F65" s="119">
        <f t="shared" si="10"/>
        <v>39.299999999999997</v>
      </c>
      <c r="G65" s="103">
        <f t="shared" si="11"/>
        <v>19.649999999999999</v>
      </c>
      <c r="H65" s="118">
        <f t="shared" si="12"/>
        <v>0.19650000000000001</v>
      </c>
      <c r="I65" s="118">
        <f t="shared" si="13"/>
        <v>5.0890585241730282</v>
      </c>
    </row>
    <row r="66" spans="2:9" x14ac:dyDescent="0.3">
      <c r="C66">
        <v>2000</v>
      </c>
      <c r="D66">
        <v>145.5</v>
      </c>
      <c r="E66" s="119">
        <v>105.5</v>
      </c>
      <c r="F66" s="119">
        <f t="shared" si="10"/>
        <v>40</v>
      </c>
      <c r="G66" s="103">
        <f t="shared" si="11"/>
        <v>20</v>
      </c>
      <c r="H66" s="118">
        <f t="shared" si="12"/>
        <v>0.2</v>
      </c>
      <c r="I66" s="118">
        <f t="shared" si="13"/>
        <v>5</v>
      </c>
    </row>
    <row r="67" spans="2:9" x14ac:dyDescent="0.3">
      <c r="C67">
        <v>4000</v>
      </c>
      <c r="D67">
        <v>145.5</v>
      </c>
      <c r="E67" s="119">
        <v>68.400000000000006</v>
      </c>
      <c r="F67" s="119">
        <f t="shared" si="10"/>
        <v>77.099999999999994</v>
      </c>
      <c r="G67" s="103">
        <f t="shared" si="11"/>
        <v>19.274999999999999</v>
      </c>
      <c r="H67" s="118">
        <f t="shared" si="12"/>
        <v>0.19275</v>
      </c>
      <c r="I67" s="118">
        <f t="shared" si="13"/>
        <v>5.1880674448767836</v>
      </c>
    </row>
    <row r="68" spans="2:9" x14ac:dyDescent="0.3">
      <c r="C68">
        <v>4000</v>
      </c>
      <c r="D68">
        <v>145.5</v>
      </c>
      <c r="E68" s="119">
        <v>67.7</v>
      </c>
      <c r="F68" s="119">
        <f t="shared" si="10"/>
        <v>77.8</v>
      </c>
      <c r="G68" s="103">
        <f t="shared" si="11"/>
        <v>19.45</v>
      </c>
      <c r="H68" s="118">
        <f t="shared" si="12"/>
        <v>0.19450000000000001</v>
      </c>
      <c r="I68" s="118">
        <f t="shared" si="13"/>
        <v>5.1413881748071981</v>
      </c>
    </row>
    <row r="69" spans="2:9" x14ac:dyDescent="0.3">
      <c r="C69">
        <v>4000</v>
      </c>
      <c r="D69">
        <v>145.5</v>
      </c>
      <c r="E69" s="119">
        <v>67.7</v>
      </c>
      <c r="F69" s="119">
        <f t="shared" si="10"/>
        <v>77.8</v>
      </c>
      <c r="G69" s="103">
        <f t="shared" si="11"/>
        <v>19.45</v>
      </c>
      <c r="H69" s="118">
        <f t="shared" si="12"/>
        <v>0.19450000000000001</v>
      </c>
      <c r="I69" s="118">
        <f t="shared" si="13"/>
        <v>5.1413881748071981</v>
      </c>
    </row>
    <row r="70" spans="2:9" x14ac:dyDescent="0.3">
      <c r="C70">
        <v>4000</v>
      </c>
      <c r="D70">
        <v>145.5</v>
      </c>
      <c r="E70" s="119">
        <v>66.8</v>
      </c>
      <c r="F70" s="119">
        <f t="shared" si="10"/>
        <v>78.7</v>
      </c>
      <c r="G70" s="103">
        <f t="shared" si="11"/>
        <v>19.675000000000001</v>
      </c>
      <c r="H70" s="118">
        <f t="shared" si="12"/>
        <v>0.19675000000000001</v>
      </c>
      <c r="I70" s="118">
        <f t="shared" si="13"/>
        <v>5.082592121982211</v>
      </c>
    </row>
    <row r="71" spans="2:9" x14ac:dyDescent="0.3">
      <c r="C71">
        <v>4000</v>
      </c>
      <c r="D71">
        <v>145.5</v>
      </c>
      <c r="E71" s="119">
        <v>66.400000000000006</v>
      </c>
      <c r="F71" s="119">
        <f t="shared" si="10"/>
        <v>79.099999999999994</v>
      </c>
      <c r="G71" s="103">
        <f t="shared" si="11"/>
        <v>19.774999999999999</v>
      </c>
      <c r="H71" s="118">
        <f t="shared" si="12"/>
        <v>0.19775000000000001</v>
      </c>
      <c r="I71" s="118">
        <f>C71/(F71*10)</f>
        <v>5.0568900126422252</v>
      </c>
    </row>
    <row r="74" spans="2:9" x14ac:dyDescent="0.3">
      <c r="B74" t="s">
        <v>112</v>
      </c>
      <c r="D74" s="119">
        <f>MAX(F57:F61)-MIN(F57:F61)</f>
        <v>8.8000000000000114</v>
      </c>
      <c r="E74" t="s">
        <v>113</v>
      </c>
    </row>
    <row r="75" spans="2:9" x14ac:dyDescent="0.3">
      <c r="B75" t="s">
        <v>114</v>
      </c>
      <c r="D75" s="119">
        <f>MAX(F62:F66)-MIN(F62:F66)</f>
        <v>1</v>
      </c>
      <c r="E75" t="s">
        <v>113</v>
      </c>
    </row>
    <row r="76" spans="2:9" x14ac:dyDescent="0.3">
      <c r="B76" t="s">
        <v>115</v>
      </c>
      <c r="D76" s="119">
        <f>MAX(F67:F71)-MIN(F67:F71)</f>
        <v>2</v>
      </c>
      <c r="E76" t="s">
        <v>113</v>
      </c>
    </row>
  </sheetData>
  <mergeCells count="1">
    <mergeCell ref="B5:F5"/>
  </mergeCells>
  <phoneticPr fontId="3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3" style="30" customWidth="1"/>
    <col min="2" max="16384" width="9.109375" style="1"/>
  </cols>
  <sheetData>
    <row r="1" spans="1:2" ht="46.5" customHeight="1" x14ac:dyDescent="0.3"/>
    <row r="2" spans="1:2" s="32" customFormat="1" ht="15.6" x14ac:dyDescent="0.3">
      <c r="A2" s="31" t="s">
        <v>6</v>
      </c>
      <c r="B2" s="31"/>
    </row>
    <row r="3" spans="1:2" s="36" customFormat="1" ht="27" customHeight="1" x14ac:dyDescent="0.3">
      <c r="A3" s="54" t="s">
        <v>7</v>
      </c>
      <c r="B3" s="37"/>
    </row>
    <row r="4" spans="1:2" s="33" customFormat="1" ht="25.8" x14ac:dyDescent="0.5">
      <c r="A4" s="34" t="s">
        <v>8</v>
      </c>
    </row>
    <row r="5" spans="1:2" ht="74.099999999999994" customHeight="1" x14ac:dyDescent="0.3">
      <c r="A5" s="35" t="s">
        <v>9</v>
      </c>
    </row>
    <row r="6" spans="1:2" ht="26.25" customHeight="1" x14ac:dyDescent="0.3">
      <c r="A6" s="34" t="s">
        <v>10</v>
      </c>
    </row>
    <row r="7" spans="1:2" s="30" customFormat="1" ht="204.9" customHeight="1" x14ac:dyDescent="0.3">
      <c r="A7" s="39" t="s">
        <v>11</v>
      </c>
    </row>
    <row r="8" spans="1:2" s="33" customFormat="1" ht="25.8" x14ac:dyDescent="0.5">
      <c r="A8" s="34" t="s">
        <v>12</v>
      </c>
    </row>
    <row r="9" spans="1:2" ht="57.6" x14ac:dyDescent="0.3">
      <c r="A9" s="35" t="s">
        <v>13</v>
      </c>
    </row>
    <row r="10" spans="1:2" s="30" customFormat="1" ht="27.9" customHeight="1" x14ac:dyDescent="0.3">
      <c r="A10" s="38" t="s">
        <v>14</v>
      </c>
    </row>
    <row r="11" spans="1:2" s="33" customFormat="1" ht="25.8" x14ac:dyDescent="0.5">
      <c r="A11" s="34" t="s">
        <v>15</v>
      </c>
    </row>
    <row r="12" spans="1:2" ht="28.8" x14ac:dyDescent="0.3">
      <c r="A12" s="35" t="s">
        <v>16</v>
      </c>
    </row>
    <row r="13" spans="1:2" s="30" customFormat="1" ht="27.9" customHeight="1" x14ac:dyDescent="0.3">
      <c r="A13" s="38" t="s">
        <v>17</v>
      </c>
    </row>
    <row r="14" spans="1:2" s="33" customFormat="1" ht="25.8" x14ac:dyDescent="0.5">
      <c r="A14" s="34" t="s">
        <v>18</v>
      </c>
    </row>
    <row r="15" spans="1:2" ht="75" customHeight="1" x14ac:dyDescent="0.3">
      <c r="A15" s="35" t="s">
        <v>19</v>
      </c>
    </row>
    <row r="16" spans="1:2" ht="75.75" customHeight="1" x14ac:dyDescent="0.3">
      <c r="A16" s="35" t="s">
        <v>20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Werkbladen</vt:lpstr>
      </vt:variant>
      <vt:variant>
        <vt:i4>3</vt:i4>
      </vt:variant>
      <vt:variant>
        <vt:lpstr>Benoemde bereiken</vt:lpstr>
      </vt:variant>
      <vt:variant>
        <vt:i4>8</vt:i4>
      </vt:variant>
    </vt:vector>
  </HeadingPairs>
  <TitlesOfParts>
    <vt:vector size="11" baseType="lpstr">
      <vt:lpstr>ProjectPlanning</vt:lpstr>
      <vt:lpstr>Berekeningen</vt:lpstr>
      <vt:lpstr>Over</vt:lpstr>
      <vt:lpstr>ProjectPlanning!Afdruktitels</vt:lpstr>
      <vt:lpstr>Begin_project</vt:lpstr>
      <vt:lpstr>HOI</vt:lpstr>
      <vt:lpstr>jestinkt</vt:lpstr>
      <vt:lpstr>ProjectPlanning!task_end</vt:lpstr>
      <vt:lpstr>ProjectPlanning!task_progress</vt:lpstr>
      <vt:lpstr>ProjectPlanning!task_start</vt:lpstr>
      <vt:lpstr>Weergegeven_week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2026-01-08T14:50:52Z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