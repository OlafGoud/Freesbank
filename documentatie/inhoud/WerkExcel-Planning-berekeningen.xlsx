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7C5C025A-5A95-4BD9-8A87-8E6E3006CA4F}" xr6:coauthVersionLast="47" xr6:coauthVersionMax="47" xr10:uidLastSave="{00000000-0000-0000-0000-000000000000}"/>
  <bookViews>
    <workbookView xWindow="-108" yWindow="-108" windowWidth="23256" windowHeight="12456" activeTab="1"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4" i="13" l="1"/>
  <c r="I45" i="13"/>
  <c r="I46" i="13"/>
  <c r="I47" i="13"/>
  <c r="I48" i="13"/>
  <c r="I49" i="13"/>
  <c r="I50" i="13"/>
  <c r="I51" i="13"/>
  <c r="I52" i="13"/>
  <c r="I53" i="13"/>
  <c r="I54" i="13"/>
  <c r="I43" i="13"/>
  <c r="G54" i="13"/>
  <c r="H54" i="13" s="1"/>
  <c r="G53" i="13"/>
  <c r="G52" i="13"/>
  <c r="H52" i="13" s="1"/>
  <c r="G51" i="13"/>
  <c r="G50" i="13"/>
  <c r="G49" i="13"/>
  <c r="H49" i="13" s="1"/>
  <c r="G47" i="13"/>
  <c r="H47" i="13" s="1"/>
  <c r="H51" i="13"/>
  <c r="H53" i="13"/>
  <c r="H50" i="13"/>
  <c r="H48" i="13"/>
  <c r="H46" i="13"/>
  <c r="G46" i="13"/>
  <c r="H45" i="13"/>
  <c r="G45" i="13"/>
  <c r="H44" i="13"/>
  <c r="G44" i="13"/>
  <c r="H43" i="13"/>
  <c r="G43" i="13"/>
  <c r="E30" i="13"/>
  <c r="F30" i="13" s="1"/>
  <c r="G30" i="13" s="1"/>
  <c r="E25" i="13"/>
  <c r="F25" i="13" s="1"/>
  <c r="G25" i="13" s="1"/>
  <c r="E26" i="13"/>
  <c r="F26" i="13" s="1"/>
  <c r="G26" i="13" s="1"/>
  <c r="E27" i="13"/>
  <c r="F27" i="13" s="1"/>
  <c r="G27" i="13" s="1"/>
  <c r="E28" i="13"/>
  <c r="F28" i="13" s="1"/>
  <c r="G28" i="13" s="1"/>
  <c r="E29" i="13"/>
  <c r="E31" i="13"/>
  <c r="F31" i="13" s="1"/>
  <c r="G31" i="13" s="1"/>
  <c r="E32" i="13"/>
  <c r="F32" i="13" s="1"/>
  <c r="G32" i="13" s="1"/>
  <c r="E33" i="13"/>
  <c r="E34" i="13"/>
  <c r="E35" i="13"/>
  <c r="F35" i="13" s="1"/>
  <c r="G35" i="13" s="1"/>
  <c r="E36" i="13"/>
  <c r="F36" i="13" s="1"/>
  <c r="G36" i="13" s="1"/>
  <c r="E37" i="13"/>
  <c r="F37" i="13" s="1"/>
  <c r="G37" i="13" s="1"/>
  <c r="G23" i="13"/>
  <c r="G24" i="13"/>
  <c r="F24" i="13"/>
  <c r="F29" i="13"/>
  <c r="G29" i="13" s="1"/>
  <c r="F33" i="13"/>
  <c r="G33" i="13" s="1"/>
  <c r="F34" i="13"/>
  <c r="G34" i="13" s="1"/>
  <c r="F23" i="13"/>
  <c r="E24" i="13"/>
  <c r="E23" i="13"/>
  <c r="E38" i="1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<sst xmlns="http://schemas.openxmlformats.org/spreadsheetml/2006/main" count="117" uniqueCount="103">
  <si>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</si>
  <si>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</si>
  <si>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</si>
  <si>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</si>
  <si>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</si>
  <si>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</si>
  <si>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</si>
  <si>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</si>
  <si>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</si>
  <si>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</si>
  <si>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</si>
  <si>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</si>
  <si>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</si>
  <si>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</si>
  <si>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</si>
  <si>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</si>
  <si>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</si>
  <si>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</si>
  <si>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</si>
  <si>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</si>
  <si>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</si>
  <si>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</si>
  <si>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</si>
  <si>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</si>
  <si>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</si>
  <si>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</si>
  <si>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</si>
  <si>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</si>
  <si>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</si>
  <si>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</si>
  <si>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</si>
  <si>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</si>
  <si>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</si>
  <si>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</si>
  <si>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</si>
  <si>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</si>
  <si>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</si>
  <si>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</si>
  <si>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</si>
  <si>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</si>
  <si>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</si>
  <si>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</si>
  <si>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</si>
  <si>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</si>
  <si>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</si>
  <si>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</si>
  <si>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</si>
  <si>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</si>
  <si>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</si>
  <si>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</si>
  <si>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</si>
  <si>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</si>
  <si>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</si>
  <si>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</si>
  <si>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</si>
  <si>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</si>
  <si>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</si>
  <si>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</si>
  <si>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</si>
  <si>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</si>
  <si>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</si>
  <si>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</si>
  <si>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</si>
  <si>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</si>
  <si>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</si>
  <si>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</si>
  <si>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</si>
  <si>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</si>
  <si>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</si>
  <si>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</si>
  <si>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</si>
  <si>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</si>
  <si>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</si>
  <si>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</si>
  <si>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</si>
  <si>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</si>
  <si>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</si>
  <si>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</si>
  <si>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</si>
  <si>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</si>
  <si>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</si>
  <si>
    <t>grote werkbank</t>
  </si>
  <si>
    <t>mm</t>
  </si>
  <si>
    <t>Start</t>
  </si>
  <si>
    <t>eind</t>
  </si>
  <si>
    <t>totaal</t>
  </si>
  <si>
    <t>nauwkeurigheid</t>
  </si>
  <si>
    <t>totaal pos</t>
  </si>
  <si>
    <t>Test</t>
  </si>
  <si>
    <t>snel</t>
  </si>
  <si>
    <t>note</t>
  </si>
  <si>
    <t>langzaam</t>
  </si>
  <si>
    <t>met motor</t>
  </si>
  <si>
    <t>nee</t>
  </si>
  <si>
    <t>niet accuraat</t>
  </si>
  <si>
    <t>ja</t>
  </si>
  <si>
    <t>begin</t>
  </si>
  <si>
    <t>end</t>
  </si>
  <si>
    <t>end target</t>
  </si>
  <si>
    <t>steps</t>
  </si>
  <si>
    <t>mm/step</t>
  </si>
  <si>
    <t>step/mm</t>
  </si>
  <si>
    <t>meetlint vanaf links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</si>
</sst>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
      <left/>
      <right/>
      <top/>
      <bottom style="thin">
        <color indexed="64"/>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8">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0" fontId="9" fillId="48" borderId="10" xfId="0" applyFont="1" applyFill="1" applyBorder="1" applyAlignment="1">
      <alignment horizontal="center" vertical="center"/>
    </xf>
    <xf numFmtId="0" fontId="0" fillId="48" borderId="10" xfId="0" applyFill="1" applyBorder="1" applyAlignment="1">
      <alignment horizontal="center"/>
    </xf>
    <xf numFmtId="166" fontId="8" fillId="0" borderId="3" xfId="9" applyNumberFormat="1">
      <alignment horizontal="center" vertical="center"/>
    </xf>
    <xf numFmtId="0" fontId="0" fillId="0" borderId="0" xfId="0" applyAlignment="1">
      <alignment horizontal="center" wrapText="1"/>
    </xf>
    <xf numFmtId="0" fontId="0" fillId="0" borderId="0" xfId="0" applyBorder="1"/>
    <xf numFmtId="0" fontId="0" fillId="0" borderId="0" xfId="0" applyFill="1" applyBorder="1"/>
    <xf numFmtId="0" fontId="0" fillId="0" borderId="21" xfId="0" applyBorder="1"/>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showRuler="0" zoomScale="85" zoomScaleNormal="85" zoomScalePageLayoutView="70" workbookViewId="0">
      <pane ySplit="6" topLeftCell="A20" activePane="bottomLeft" state="frozen"/>
      <selection pane="bottomLeft" activeCell="B33" sqref="B33"/>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13">
        <f>DATE(2025, 9, 1)</f>
        <v>45901</v>
      </c>
      <c r="E3" s="113"/>
      <c r="P3" s="88"/>
      <c r="AF3" s="88"/>
      <c r="AR3" s="88"/>
      <c r="AY3" s="87"/>
      <c r="BM3" s="88"/>
      <c r="BN3" s="87"/>
      <c r="BO3" s="111" t="s">
        <v>53</v>
      </c>
      <c r="BP3" s="111"/>
      <c r="BQ3" s="111"/>
      <c r="BR3" s="111"/>
      <c r="BS3" s="111"/>
      <c r="BT3" s="111"/>
      <c r="BU3" s="111"/>
      <c r="BV3" s="111"/>
      <c r="BW3" s="111"/>
      <c r="BX3" s="111"/>
      <c r="BY3" s="111"/>
      <c r="CA3" s="88"/>
      <c r="CG3" s="87"/>
      <c r="CO3" s="88"/>
      <c r="DC3" s="88"/>
      <c r="DP3" s="112" t="s">
        <v>56</v>
      </c>
      <c r="DQ3" s="112"/>
      <c r="DR3" s="112"/>
      <c r="DS3" s="112"/>
      <c r="DT3" s="112"/>
      <c r="DU3" s="112"/>
      <c r="DV3" s="112"/>
      <c r="DW3" s="112"/>
      <c r="DX3" s="112"/>
      <c r="DY3" s="112"/>
      <c r="DZ3" s="112"/>
      <c r="EA3" s="112"/>
      <c r="EB3" s="112"/>
      <c r="EC3" s="112"/>
      <c r="EZ3" s="88"/>
      <c r="FC3" s="87"/>
      <c r="FF3" s="87"/>
      <c r="GC3" s="92">
        <v>1</v>
      </c>
    </row>
    <row r="4" spans="1:185" ht="18" customHeight="1" x14ac:dyDescent="0.3">
      <c r="C4" s="70"/>
      <c r="D4" s="6">
        <v>1</v>
      </c>
      <c r="H4" s="108">
        <f>H5</f>
        <v>45901</v>
      </c>
      <c r="I4" s="109"/>
      <c r="J4" s="109"/>
      <c r="K4" s="109"/>
      <c r="L4" s="109"/>
      <c r="M4" s="109"/>
      <c r="N4" s="110"/>
      <c r="O4" s="108">
        <f>O5</f>
        <v>45908</v>
      </c>
      <c r="P4" s="109"/>
      <c r="Q4" s="109"/>
      <c r="R4" s="109"/>
      <c r="S4" s="109"/>
      <c r="T4" s="109"/>
      <c r="U4" s="110"/>
      <c r="V4" s="108">
        <f>V5</f>
        <v>45915</v>
      </c>
      <c r="W4" s="109"/>
      <c r="X4" s="109"/>
      <c r="Y4" s="109"/>
      <c r="Z4" s="109"/>
      <c r="AA4" s="109"/>
      <c r="AB4" s="110"/>
      <c r="AC4" s="108">
        <f>AC5</f>
        <v>45922</v>
      </c>
      <c r="AD4" s="109"/>
      <c r="AE4" s="109"/>
      <c r="AF4" s="109"/>
      <c r="AG4" s="109"/>
      <c r="AH4" s="109"/>
      <c r="AI4" s="110"/>
      <c r="AJ4" s="108">
        <f>AJ5</f>
        <v>45929</v>
      </c>
      <c r="AK4" s="109"/>
      <c r="AL4" s="109"/>
      <c r="AM4" s="109"/>
      <c r="AN4" s="109"/>
      <c r="AO4" s="109"/>
      <c r="AP4" s="110"/>
      <c r="AQ4" s="108">
        <f>AQ5</f>
        <v>45936</v>
      </c>
      <c r="AR4" s="109"/>
      <c r="AS4" s="109"/>
      <c r="AT4" s="109"/>
      <c r="AU4" s="109"/>
      <c r="AV4" s="109"/>
      <c r="AW4" s="110"/>
      <c r="AX4" s="108">
        <f>AX5</f>
        <v>45943</v>
      </c>
      <c r="AY4" s="109"/>
      <c r="AZ4" s="109"/>
      <c r="BA4" s="109"/>
      <c r="BB4" s="109"/>
      <c r="BC4" s="109"/>
      <c r="BD4" s="110"/>
      <c r="BE4" s="108">
        <f>BE5</f>
        <v>45950</v>
      </c>
      <c r="BF4" s="109"/>
      <c r="BG4" s="109"/>
      <c r="BH4" s="109"/>
      <c r="BI4" s="109"/>
      <c r="BJ4" s="109"/>
      <c r="BK4" s="110"/>
      <c r="BL4" s="108">
        <f>BL5</f>
        <v>45957</v>
      </c>
      <c r="BM4" s="109"/>
      <c r="BN4" s="109"/>
      <c r="BO4" s="109"/>
      <c r="BP4" s="109"/>
      <c r="BQ4" s="109"/>
      <c r="BR4" s="110"/>
      <c r="BS4" s="108">
        <f>BS5</f>
        <v>45964</v>
      </c>
      <c r="BT4" s="109"/>
      <c r="BU4" s="109"/>
      <c r="BV4" s="109"/>
      <c r="BW4" s="109"/>
      <c r="BX4" s="109"/>
      <c r="BY4" s="110"/>
      <c r="BZ4" s="108">
        <f>BZ5</f>
        <v>45971</v>
      </c>
      <c r="CA4" s="109"/>
      <c r="CB4" s="109"/>
      <c r="CC4" s="109"/>
      <c r="CD4" s="109"/>
      <c r="CE4" s="109"/>
      <c r="CF4" s="110"/>
      <c r="CG4" s="108">
        <f>CG5</f>
        <v>45978</v>
      </c>
      <c r="CH4" s="109"/>
      <c r="CI4" s="109"/>
      <c r="CJ4" s="109"/>
      <c r="CK4" s="109"/>
      <c r="CL4" s="109"/>
      <c r="CM4" s="110"/>
      <c r="CN4" s="108">
        <f>CN5</f>
        <v>45985</v>
      </c>
      <c r="CO4" s="109"/>
      <c r="CP4" s="109"/>
      <c r="CQ4" s="109"/>
      <c r="CR4" s="109"/>
      <c r="CS4" s="109"/>
      <c r="CT4" s="110"/>
      <c r="CU4" s="108">
        <f>CU5</f>
        <v>45992</v>
      </c>
      <c r="CV4" s="109"/>
      <c r="CW4" s="109"/>
      <c r="CX4" s="109"/>
      <c r="CY4" s="109"/>
      <c r="CZ4" s="109"/>
      <c r="DA4" s="110"/>
      <c r="DB4" s="108">
        <f t="shared" ref="DB4" si="0">DB5</f>
        <v>45999</v>
      </c>
      <c r="DC4" s="109"/>
      <c r="DD4" s="109"/>
      <c r="DE4" s="109"/>
      <c r="DF4" s="109"/>
      <c r="DG4" s="109"/>
      <c r="DH4" s="110"/>
      <c r="DI4" s="108">
        <f t="shared" ref="DI4" si="1">DI5</f>
        <v>46006</v>
      </c>
      <c r="DJ4" s="109"/>
      <c r="DK4" s="109"/>
      <c r="DL4" s="109"/>
      <c r="DM4" s="109"/>
      <c r="DN4" s="109"/>
      <c r="DO4" s="110"/>
      <c r="DP4" s="108">
        <f t="shared" ref="DP4" si="2">DP5</f>
        <v>46013</v>
      </c>
      <c r="DQ4" s="109"/>
      <c r="DR4" s="109"/>
      <c r="DS4" s="109"/>
      <c r="DT4" s="109"/>
      <c r="DU4" s="109"/>
      <c r="DV4" s="110"/>
      <c r="DW4" s="108">
        <f t="shared" ref="DW4" si="3">DW5</f>
        <v>46020</v>
      </c>
      <c r="DX4" s="109"/>
      <c r="DY4" s="109"/>
      <c r="DZ4" s="109"/>
      <c r="EA4" s="109"/>
      <c r="EB4" s="109"/>
      <c r="EC4" s="110"/>
      <c r="ED4" s="108">
        <f t="shared" ref="ED4" si="4">ED5</f>
        <v>46027</v>
      </c>
      <c r="EE4" s="109"/>
      <c r="EF4" s="109"/>
      <c r="EG4" s="109"/>
      <c r="EH4" s="109"/>
      <c r="EI4" s="109"/>
      <c r="EJ4" s="110"/>
      <c r="EK4" s="108">
        <f t="shared" ref="EK4" si="5">EK5</f>
        <v>46034</v>
      </c>
      <c r="EL4" s="109"/>
      <c r="EM4" s="109"/>
      <c r="EN4" s="109"/>
      <c r="EO4" s="109"/>
      <c r="EP4" s="109"/>
      <c r="EQ4" s="110"/>
      <c r="ER4" s="108">
        <f t="shared" ref="ER4" si="6">ER5</f>
        <v>46041</v>
      </c>
      <c r="ES4" s="109"/>
      <c r="ET4" s="109"/>
      <c r="EU4" s="109"/>
      <c r="EV4" s="109"/>
      <c r="EW4" s="109"/>
      <c r="EX4" s="110"/>
      <c r="EY4" s="108">
        <f t="shared" ref="EY4" si="7">EY5</f>
        <v>46048</v>
      </c>
      <c r="EZ4" s="109"/>
      <c r="FA4" s="109"/>
      <c r="FB4" s="109"/>
      <c r="FC4" s="109"/>
      <c r="FD4" s="109"/>
      <c r="FE4" s="110"/>
      <c r="FF4" s="108">
        <f t="shared" ref="FF4" si="8">FF5</f>
        <v>46055</v>
      </c>
      <c r="FG4" s="109"/>
      <c r="FH4" s="109"/>
      <c r="FI4" s="109"/>
      <c r="FJ4" s="109"/>
      <c r="FK4" s="109"/>
      <c r="FL4" s="110"/>
      <c r="FM4" s="108">
        <f t="shared" ref="FM4" si="9">FM5</f>
        <v>46062</v>
      </c>
      <c r="FN4" s="109"/>
      <c r="FO4" s="109"/>
      <c r="FP4" s="109"/>
      <c r="FQ4" s="109"/>
      <c r="FR4" s="109"/>
      <c r="FS4" s="110"/>
      <c r="FT4" s="108">
        <f t="shared" ref="FT4" si="10">FT5</f>
        <v>46069</v>
      </c>
      <c r="FU4" s="109"/>
      <c r="FV4" s="109"/>
      <c r="FW4" s="109"/>
      <c r="FX4" s="109"/>
      <c r="FY4" s="109"/>
      <c r="FZ4" s="110"/>
      <c r="GC4" s="92">
        <v>1</v>
      </c>
    </row>
    <row r="5" spans="1:185" ht="15" customHeight="1" x14ac:dyDescent="0.3">
      <c r="B5" s="51"/>
      <c r="C5" s="51"/>
      <c r="D5" s="51"/>
      <c r="E5" s="51"/>
      <c r="F5" s="51"/>
      <c r="H5" s="105">
        <f>Begin_project-WEEKDAY(Begin_project,1)+2+7*(Weergegeven_week-1)</f>
        <v>45901</v>
      </c>
      <c r="I5" s="106">
        <f>H5+1</f>
        <v>45902</v>
      </c>
      <c r="J5" s="106">
        <f t="shared" ref="J5:AW5" si="11">I5+1</f>
        <v>45903</v>
      </c>
      <c r="K5" s="106">
        <f t="shared" si="11"/>
        <v>45904</v>
      </c>
      <c r="L5" s="106">
        <f t="shared" si="11"/>
        <v>45905</v>
      </c>
      <c r="M5" s="106">
        <f t="shared" si="11"/>
        <v>45906</v>
      </c>
      <c r="N5" s="107">
        <f t="shared" si="11"/>
        <v>45907</v>
      </c>
      <c r="O5" s="105">
        <f>N5+1</f>
        <v>45908</v>
      </c>
      <c r="P5" s="106">
        <f>O5+1</f>
        <v>45909</v>
      </c>
      <c r="Q5" s="106">
        <f t="shared" si="11"/>
        <v>45910</v>
      </c>
      <c r="R5" s="106">
        <f t="shared" si="11"/>
        <v>45911</v>
      </c>
      <c r="S5" s="106">
        <f t="shared" si="11"/>
        <v>45912</v>
      </c>
      <c r="T5" s="106">
        <f t="shared" si="11"/>
        <v>45913</v>
      </c>
      <c r="U5" s="107">
        <f t="shared" si="11"/>
        <v>45914</v>
      </c>
      <c r="V5" s="105">
        <f>U5+1</f>
        <v>45915</v>
      </c>
      <c r="W5" s="106">
        <f>V5+1</f>
        <v>45916</v>
      </c>
      <c r="X5" s="106">
        <f t="shared" si="11"/>
        <v>45917</v>
      </c>
      <c r="Y5" s="106">
        <f t="shared" si="11"/>
        <v>45918</v>
      </c>
      <c r="Z5" s="106">
        <f t="shared" si="11"/>
        <v>45919</v>
      </c>
      <c r="AA5" s="106">
        <f t="shared" si="11"/>
        <v>45920</v>
      </c>
      <c r="AB5" s="107">
        <f t="shared" si="11"/>
        <v>45921</v>
      </c>
      <c r="AC5" s="105">
        <f>AB5+1</f>
        <v>45922</v>
      </c>
      <c r="AD5" s="106">
        <f>AC5+1</f>
        <v>45923</v>
      </c>
      <c r="AE5" s="106">
        <f t="shared" si="11"/>
        <v>45924</v>
      </c>
      <c r="AF5" s="106">
        <f t="shared" si="11"/>
        <v>45925</v>
      </c>
      <c r="AG5" s="106">
        <f t="shared" si="11"/>
        <v>45926</v>
      </c>
      <c r="AH5" s="106">
        <f t="shared" si="11"/>
        <v>45927</v>
      </c>
      <c r="AI5" s="107">
        <f t="shared" si="11"/>
        <v>45928</v>
      </c>
      <c r="AJ5" s="105">
        <f>AI5+1</f>
        <v>45929</v>
      </c>
      <c r="AK5" s="106">
        <f>AJ5+1</f>
        <v>45930</v>
      </c>
      <c r="AL5" s="106">
        <f t="shared" si="11"/>
        <v>45931</v>
      </c>
      <c r="AM5" s="106">
        <f t="shared" si="11"/>
        <v>45932</v>
      </c>
      <c r="AN5" s="106">
        <f t="shared" si="11"/>
        <v>45933</v>
      </c>
      <c r="AO5" s="106">
        <f t="shared" si="11"/>
        <v>45934</v>
      </c>
      <c r="AP5" s="107">
        <f t="shared" si="11"/>
        <v>45935</v>
      </c>
      <c r="AQ5" s="105">
        <f>AP5+1</f>
        <v>45936</v>
      </c>
      <c r="AR5" s="106">
        <f>AQ5+1</f>
        <v>45937</v>
      </c>
      <c r="AS5" s="106">
        <f t="shared" si="11"/>
        <v>45938</v>
      </c>
      <c r="AT5" s="106">
        <f t="shared" si="11"/>
        <v>45939</v>
      </c>
      <c r="AU5" s="106">
        <f t="shared" si="11"/>
        <v>45940</v>
      </c>
      <c r="AV5" s="106">
        <f t="shared" si="11"/>
        <v>45941</v>
      </c>
      <c r="AW5" s="107">
        <f t="shared" si="11"/>
        <v>45942</v>
      </c>
      <c r="AX5" s="105">
        <f>AW5+1</f>
        <v>45943</v>
      </c>
      <c r="AY5" s="106">
        <f>AX5+1</f>
        <v>45944</v>
      </c>
      <c r="AZ5" s="106">
        <f t="shared" ref="AZ5:BD5" si="12">AY5+1</f>
        <v>45945</v>
      </c>
      <c r="BA5" s="106">
        <f t="shared" si="12"/>
        <v>45946</v>
      </c>
      <c r="BB5" s="106">
        <f t="shared" si="12"/>
        <v>45947</v>
      </c>
      <c r="BC5" s="106">
        <f t="shared" si="12"/>
        <v>45948</v>
      </c>
      <c r="BD5" s="107">
        <f t="shared" si="12"/>
        <v>45949</v>
      </c>
      <c r="BE5" s="105">
        <f>BD5+1</f>
        <v>45950</v>
      </c>
      <c r="BF5" s="106">
        <f>BE5+1</f>
        <v>45951</v>
      </c>
      <c r="BG5" s="106">
        <f t="shared" ref="BG5" si="13">BF5+1</f>
        <v>45952</v>
      </c>
      <c r="BH5" s="106">
        <f t="shared" ref="BH5" si="14">BG5+1</f>
        <v>45953</v>
      </c>
      <c r="BI5" s="106">
        <f t="shared" ref="BI5" si="15">BH5+1</f>
        <v>45954</v>
      </c>
      <c r="BJ5" s="106">
        <f t="shared" ref="BJ5" si="16">BI5+1</f>
        <v>45955</v>
      </c>
      <c r="BK5" s="107">
        <f t="shared" ref="BK5" si="17">BJ5+1</f>
        <v>45956</v>
      </c>
      <c r="BL5" s="105">
        <f>BK5+1</f>
        <v>45957</v>
      </c>
      <c r="BM5" s="106">
        <f>BL5+1</f>
        <v>45958</v>
      </c>
      <c r="BN5" s="106">
        <f t="shared" ref="BN5" si="18">BM5+1</f>
        <v>45959</v>
      </c>
      <c r="BO5" s="106">
        <f t="shared" ref="BO5" si="19">BN5+1</f>
        <v>45960</v>
      </c>
      <c r="BP5" s="106">
        <f t="shared" ref="BP5" si="20">BO5+1</f>
        <v>45961</v>
      </c>
      <c r="BQ5" s="106">
        <f t="shared" ref="BQ5" si="21">BP5+1</f>
        <v>45962</v>
      </c>
      <c r="BR5" s="107">
        <f t="shared" ref="BR5" si="22">BQ5+1</f>
        <v>45963</v>
      </c>
      <c r="BS5" s="105">
        <f>BR5+1</f>
        <v>45964</v>
      </c>
      <c r="BT5" s="106">
        <f>BS5+1</f>
        <v>45965</v>
      </c>
      <c r="BU5" s="106">
        <f t="shared" ref="BU5" si="23">BT5+1</f>
        <v>45966</v>
      </c>
      <c r="BV5" s="106">
        <f t="shared" ref="BV5" si="24">BU5+1</f>
        <v>45967</v>
      </c>
      <c r="BW5" s="106">
        <f t="shared" ref="BW5" si="25">BV5+1</f>
        <v>45968</v>
      </c>
      <c r="BX5" s="106">
        <f t="shared" ref="BX5" si="26">BW5+1</f>
        <v>45969</v>
      </c>
      <c r="BY5" s="107">
        <f t="shared" ref="BY5" si="27">BX5+1</f>
        <v>45970</v>
      </c>
      <c r="BZ5" s="105">
        <f>BY5+1</f>
        <v>45971</v>
      </c>
      <c r="CA5" s="106">
        <f>BZ5+1</f>
        <v>45972</v>
      </c>
      <c r="CB5" s="106">
        <f t="shared" ref="CB5" si="28">CA5+1</f>
        <v>45973</v>
      </c>
      <c r="CC5" s="106">
        <f t="shared" ref="CC5" si="29">CB5+1</f>
        <v>45974</v>
      </c>
      <c r="CD5" s="106">
        <f t="shared" ref="CD5" si="30">CC5+1</f>
        <v>45975</v>
      </c>
      <c r="CE5" s="106">
        <f t="shared" ref="CE5" si="31">CD5+1</f>
        <v>45976</v>
      </c>
      <c r="CF5" s="107">
        <f t="shared" ref="CF5" si="32">CE5+1</f>
        <v>45977</v>
      </c>
      <c r="CG5" s="105">
        <f>CF5+1</f>
        <v>45978</v>
      </c>
      <c r="CH5" s="106">
        <f>CG5+1</f>
        <v>45979</v>
      </c>
      <c r="CI5" s="106">
        <f t="shared" ref="CI5" si="33">CH5+1</f>
        <v>45980</v>
      </c>
      <c r="CJ5" s="106">
        <f t="shared" ref="CJ5" si="34">CI5+1</f>
        <v>45981</v>
      </c>
      <c r="CK5" s="106">
        <f t="shared" ref="CK5" si="35">CJ5+1</f>
        <v>45982</v>
      </c>
      <c r="CL5" s="106">
        <f t="shared" ref="CL5" si="36">CK5+1</f>
        <v>45983</v>
      </c>
      <c r="CM5" s="107">
        <f t="shared" ref="CM5" si="37">CL5+1</f>
        <v>45984</v>
      </c>
      <c r="CN5" s="105">
        <f>CM5+1</f>
        <v>45985</v>
      </c>
      <c r="CO5" s="106">
        <f>CN5+1</f>
        <v>45986</v>
      </c>
      <c r="CP5" s="106">
        <f t="shared" ref="CP5" si="38">CO5+1</f>
        <v>45987</v>
      </c>
      <c r="CQ5" s="106">
        <f t="shared" ref="CQ5" si="39">CP5+1</f>
        <v>45988</v>
      </c>
      <c r="CR5" s="106">
        <f t="shared" ref="CR5" si="40">CQ5+1</f>
        <v>45989</v>
      </c>
      <c r="CS5" s="106">
        <f t="shared" ref="CS5" si="41">CR5+1</f>
        <v>45990</v>
      </c>
      <c r="CT5" s="107">
        <f t="shared" ref="CT5" si="42">CS5+1</f>
        <v>45991</v>
      </c>
      <c r="CU5" s="105">
        <f>CT5+1</f>
        <v>45992</v>
      </c>
      <c r="CV5" s="106">
        <f>CU5+1</f>
        <v>45993</v>
      </c>
      <c r="CW5" s="106">
        <f t="shared" ref="CW5" si="43">CV5+1</f>
        <v>45994</v>
      </c>
      <c r="CX5" s="106">
        <f t="shared" ref="CX5" si="44">CW5+1</f>
        <v>45995</v>
      </c>
      <c r="CY5" s="106">
        <f t="shared" ref="CY5" si="45">CX5+1</f>
        <v>45996</v>
      </c>
      <c r="CZ5" s="106">
        <f t="shared" ref="CZ5" si="46">CY5+1</f>
        <v>45997</v>
      </c>
      <c r="DA5" s="107">
        <f t="shared" ref="DA5:DC5" si="47">CZ5+1</f>
        <v>45998</v>
      </c>
      <c r="DB5" s="105">
        <f t="shared" si="47"/>
        <v>45999</v>
      </c>
      <c r="DC5" s="106">
        <f t="shared" si="47"/>
        <v>46000</v>
      </c>
      <c r="DD5" s="106">
        <f t="shared" ref="DD5" si="48">DC5+1</f>
        <v>46001</v>
      </c>
      <c r="DE5" s="106">
        <f t="shared" ref="DE5" si="49">DD5+1</f>
        <v>46002</v>
      </c>
      <c r="DF5" s="106">
        <f t="shared" ref="DF5" si="50">DE5+1</f>
        <v>46003</v>
      </c>
      <c r="DG5" s="106">
        <f t="shared" ref="DG5" si="51">DF5+1</f>
        <v>46004</v>
      </c>
      <c r="DH5" s="107">
        <f t="shared" ref="DH5:DJ5" si="52">DG5+1</f>
        <v>46005</v>
      </c>
      <c r="DI5" s="105">
        <f t="shared" si="52"/>
        <v>46006</v>
      </c>
      <c r="DJ5" s="106">
        <f t="shared" si="52"/>
        <v>46007</v>
      </c>
      <c r="DK5" s="106">
        <f t="shared" ref="DK5" si="53">DJ5+1</f>
        <v>46008</v>
      </c>
      <c r="DL5" s="106">
        <f t="shared" ref="DL5" si="54">DK5+1</f>
        <v>46009</v>
      </c>
      <c r="DM5" s="106">
        <f t="shared" ref="DM5" si="55">DL5+1</f>
        <v>46010</v>
      </c>
      <c r="DN5" s="106">
        <f t="shared" ref="DN5" si="56">DM5+1</f>
        <v>46011</v>
      </c>
      <c r="DO5" s="107">
        <f t="shared" ref="DO5:DQ5" si="57">DN5+1</f>
        <v>46012</v>
      </c>
      <c r="DP5" s="105">
        <f t="shared" si="57"/>
        <v>46013</v>
      </c>
      <c r="DQ5" s="106">
        <f t="shared" si="57"/>
        <v>46014</v>
      </c>
      <c r="DR5" s="106">
        <f t="shared" ref="DR5" si="58">DQ5+1</f>
        <v>46015</v>
      </c>
      <c r="DS5" s="106">
        <f t="shared" ref="DS5" si="59">DR5+1</f>
        <v>46016</v>
      </c>
      <c r="DT5" s="106">
        <f t="shared" ref="DT5" si="60">DS5+1</f>
        <v>46017</v>
      </c>
      <c r="DU5" s="106">
        <f t="shared" ref="DU5" si="61">DT5+1</f>
        <v>46018</v>
      </c>
      <c r="DV5" s="107">
        <f t="shared" ref="DV5:DX5" si="62">DU5+1</f>
        <v>46019</v>
      </c>
      <c r="DW5" s="105">
        <f t="shared" si="62"/>
        <v>46020</v>
      </c>
      <c r="DX5" s="106">
        <f t="shared" si="62"/>
        <v>46021</v>
      </c>
      <c r="DY5" s="106">
        <f t="shared" ref="DY5" si="63">DX5+1</f>
        <v>46022</v>
      </c>
      <c r="DZ5" s="106">
        <f t="shared" ref="DZ5" si="64">DY5+1</f>
        <v>46023</v>
      </c>
      <c r="EA5" s="106">
        <f t="shared" ref="EA5" si="65">DZ5+1</f>
        <v>46024</v>
      </c>
      <c r="EB5" s="106">
        <f t="shared" ref="EB5" si="66">EA5+1</f>
        <v>46025</v>
      </c>
      <c r="EC5" s="107">
        <f t="shared" ref="EC5:EE5" si="67">EB5+1</f>
        <v>46026</v>
      </c>
      <c r="ED5" s="105">
        <f t="shared" si="67"/>
        <v>46027</v>
      </c>
      <c r="EE5" s="106">
        <f t="shared" si="67"/>
        <v>46028</v>
      </c>
      <c r="EF5" s="106">
        <f t="shared" ref="EF5" si="68">EE5+1</f>
        <v>46029</v>
      </c>
      <c r="EG5" s="106">
        <f t="shared" ref="EG5" si="69">EF5+1</f>
        <v>46030</v>
      </c>
      <c r="EH5" s="106">
        <f t="shared" ref="EH5" si="70">EG5+1</f>
        <v>46031</v>
      </c>
      <c r="EI5" s="106">
        <f t="shared" ref="EI5" si="71">EH5+1</f>
        <v>46032</v>
      </c>
      <c r="EJ5" s="107">
        <f t="shared" ref="EJ5" si="72">EI5+1</f>
        <v>46033</v>
      </c>
      <c r="EK5" s="105">
        <f t="shared" ref="EK5" si="73">EJ5+1</f>
        <v>46034</v>
      </c>
      <c r="EL5" s="106">
        <f t="shared" ref="EL5" si="74">EK5+1</f>
        <v>46035</v>
      </c>
      <c r="EM5" s="106">
        <f t="shared" ref="EM5" si="75">EL5+1</f>
        <v>46036</v>
      </c>
      <c r="EN5" s="106">
        <f t="shared" ref="EN5" si="76">EM5+1</f>
        <v>46037</v>
      </c>
      <c r="EO5" s="106">
        <f t="shared" ref="EO5" si="77">EN5+1</f>
        <v>46038</v>
      </c>
      <c r="EP5" s="106">
        <f t="shared" ref="EP5" si="78">EO5+1</f>
        <v>46039</v>
      </c>
      <c r="EQ5" s="107">
        <f t="shared" ref="EQ5" si="79">EP5+1</f>
        <v>46040</v>
      </c>
      <c r="ER5" s="105">
        <f t="shared" ref="ER5" si="80">EQ5+1</f>
        <v>46041</v>
      </c>
      <c r="ES5" s="106">
        <f t="shared" ref="ES5" si="81">ER5+1</f>
        <v>46042</v>
      </c>
      <c r="ET5" s="106">
        <f t="shared" ref="ET5" si="82">ES5+1</f>
        <v>46043</v>
      </c>
      <c r="EU5" s="106">
        <f t="shared" ref="EU5" si="83">ET5+1</f>
        <v>46044</v>
      </c>
      <c r="EV5" s="106">
        <f t="shared" ref="EV5" si="84">EU5+1</f>
        <v>46045</v>
      </c>
      <c r="EW5" s="106">
        <f t="shared" ref="EW5" si="85">EV5+1</f>
        <v>46046</v>
      </c>
      <c r="EX5" s="107">
        <f t="shared" ref="EX5" si="86">EW5+1</f>
        <v>46047</v>
      </c>
      <c r="EY5" s="105">
        <f t="shared" ref="EY5" si="87">EX5+1</f>
        <v>46048</v>
      </c>
      <c r="EZ5" s="106">
        <f t="shared" ref="EZ5" si="88">EY5+1</f>
        <v>46049</v>
      </c>
      <c r="FA5" s="106">
        <f t="shared" ref="FA5" si="89">EZ5+1</f>
        <v>46050</v>
      </c>
      <c r="FB5" s="106">
        <f t="shared" ref="FB5" si="90">FA5+1</f>
        <v>46051</v>
      </c>
      <c r="FC5" s="106">
        <f t="shared" ref="FC5" si="91">FB5+1</f>
        <v>46052</v>
      </c>
      <c r="FD5" s="106">
        <f t="shared" ref="FD5" si="92">FC5+1</f>
        <v>46053</v>
      </c>
      <c r="FE5" s="107">
        <f t="shared" ref="FE5" si="93">FD5+1</f>
        <v>46054</v>
      </c>
      <c r="FF5" s="105">
        <f t="shared" ref="FF5" si="94">FE5+1</f>
        <v>46055</v>
      </c>
      <c r="FG5" s="106">
        <f t="shared" ref="FG5" si="95">FF5+1</f>
        <v>46056</v>
      </c>
      <c r="FH5" s="106">
        <f t="shared" ref="FH5" si="96">FG5+1</f>
        <v>46057</v>
      </c>
      <c r="FI5" s="106">
        <f t="shared" ref="FI5" si="97">FH5+1</f>
        <v>46058</v>
      </c>
      <c r="FJ5" s="106">
        <f t="shared" ref="FJ5" si="98">FI5+1</f>
        <v>46059</v>
      </c>
      <c r="FK5" s="106">
        <f t="shared" ref="FK5" si="99">FJ5+1</f>
        <v>46060</v>
      </c>
      <c r="FL5" s="107">
        <f t="shared" ref="FL5" si="100">FK5+1</f>
        <v>46061</v>
      </c>
      <c r="FM5" s="105">
        <f t="shared" ref="FM5" si="101">FL5+1</f>
        <v>46062</v>
      </c>
      <c r="FN5" s="106">
        <f t="shared" ref="FN5" si="102">FM5+1</f>
        <v>46063</v>
      </c>
      <c r="FO5" s="106">
        <f t="shared" ref="FO5" si="103">FN5+1</f>
        <v>46064</v>
      </c>
      <c r="FP5" s="106">
        <f t="shared" ref="FP5" si="104">FO5+1</f>
        <v>46065</v>
      </c>
      <c r="FQ5" s="106">
        <f t="shared" ref="FQ5" si="105">FP5+1</f>
        <v>46066</v>
      </c>
      <c r="FR5" s="106">
        <f t="shared" ref="FR5" si="106">FQ5+1</f>
        <v>46067</v>
      </c>
      <c r="FS5" s="107">
        <f t="shared" ref="FS5" si="107">FR5+1</f>
        <v>46068</v>
      </c>
      <c r="FT5" s="105">
        <f t="shared" ref="FT5" si="108">FS5+1</f>
        <v>46069</v>
      </c>
      <c r="FU5" s="106">
        <f t="shared" ref="FU5" si="109">FT5+1</f>
        <v>46070</v>
      </c>
      <c r="FV5" s="106">
        <f t="shared" ref="FV5" si="110">FU5+1</f>
        <v>46071</v>
      </c>
      <c r="FW5" s="106">
        <f t="shared" ref="FW5" si="111">FV5+1</f>
        <v>46072</v>
      </c>
      <c r="FX5" s="106">
        <f t="shared" ref="FX5" si="112">FW5+1</f>
        <v>46073</v>
      </c>
      <c r="FY5" s="106">
        <f t="shared" ref="FY5" si="113">FX5+1</f>
        <v>46074</v>
      </c>
      <c r="FZ5" s="107">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0</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v>
      </c>
      <c r="D13" s="77">
        <f>DATE(2026, 1, 1)</f>
        <v>46023</v>
      </c>
      <c r="E13" s="77">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80</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75</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76</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0.1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0</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49" t="s">
        <v>77</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c r="C41" s="23"/>
      <c r="D41" s="66">
        <v>45901</v>
      </c>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84" t="s">
        <v>79</v>
      </c>
      <c r="C47" s="85"/>
      <c r="D47" s="86"/>
      <c r="E47" s="8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7" t="s">
        <v>78</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30" customHeight="1" thickBot="1" x14ac:dyDescent="0.35">
      <c r="A59" s="41"/>
      <c r="B59" s="24" t="s">
        <v>1</v>
      </c>
      <c r="C59" s="25"/>
      <c r="D59" s="68"/>
      <c r="E59" s="69"/>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94"/>
      <c r="FF59" s="98"/>
      <c r="FG59" s="96"/>
      <c r="FH59" s="28"/>
      <c r="FI59" s="28"/>
      <c r="FJ59" s="28"/>
      <c r="FK59" s="28"/>
      <c r="FL59" s="28"/>
      <c r="FM59" s="28"/>
      <c r="FN59" s="28"/>
      <c r="FO59" s="28"/>
      <c r="FP59" s="28"/>
      <c r="FQ59" s="28"/>
      <c r="FR59" s="28"/>
      <c r="FS59" s="28"/>
      <c r="FT59" s="28"/>
      <c r="FU59" s="28"/>
      <c r="FV59" s="28"/>
      <c r="FW59" s="28"/>
      <c r="FX59" s="28"/>
      <c r="FY59" s="28"/>
      <c r="FZ59" s="28"/>
      <c r="GC59" s="92">
        <v>1</v>
      </c>
    </row>
    <row r="60" spans="1:185" ht="30" customHeight="1" x14ac:dyDescent="0.3">
      <c r="F60" s="5"/>
      <c r="FG60" s="99"/>
      <c r="GC60" s="92">
        <v>1</v>
      </c>
    </row>
    <row r="61" spans="1:185" ht="30" customHeight="1" x14ac:dyDescent="0.3">
      <c r="E61" s="42"/>
      <c r="FG61" s="99"/>
      <c r="GC61" s="92">
        <v>1</v>
      </c>
    </row>
    <row r="62" spans="1:185" ht="30" customHeight="1" x14ac:dyDescent="0.3">
      <c r="GC62" s="92">
        <v>1</v>
      </c>
    </row>
    <row r="63" spans="1:185" ht="30" customHeight="1" x14ac:dyDescent="0.3">
      <c r="A63" s="92">
        <v>1</v>
      </c>
      <c r="B63" s="92">
        <v>1</v>
      </c>
      <c r="C63" s="92">
        <v>1</v>
      </c>
      <c r="D63" s="92">
        <v>1</v>
      </c>
      <c r="E63" s="92">
        <v>1</v>
      </c>
      <c r="F63" s="92">
        <v>1</v>
      </c>
      <c r="G63" s="92">
        <v>1</v>
      </c>
      <c r="H63" s="92">
        <v>1</v>
      </c>
      <c r="I63" s="92">
        <v>1</v>
      </c>
      <c r="J63" s="92">
        <v>1</v>
      </c>
      <c r="K63" s="92">
        <v>1</v>
      </c>
      <c r="L63" s="92">
        <v>1</v>
      </c>
      <c r="M63" s="92">
        <v>1</v>
      </c>
      <c r="N63" s="92">
        <v>1</v>
      </c>
      <c r="O63" s="92">
        <v>1</v>
      </c>
      <c r="P63" s="92">
        <v>1</v>
      </c>
      <c r="Q63" s="92">
        <v>1</v>
      </c>
      <c r="R63" s="92">
        <v>1</v>
      </c>
      <c r="S63" s="92">
        <v>1</v>
      </c>
      <c r="T63" s="92">
        <v>1</v>
      </c>
      <c r="U63" s="92">
        <v>1</v>
      </c>
      <c r="V63" s="92">
        <v>1</v>
      </c>
      <c r="W63" s="92">
        <v>1</v>
      </c>
      <c r="X63" s="92">
        <v>1</v>
      </c>
      <c r="Y63" s="92">
        <v>1</v>
      </c>
      <c r="Z63" s="92">
        <v>1</v>
      </c>
      <c r="AA63" s="92">
        <v>1</v>
      </c>
      <c r="AB63" s="92">
        <v>1</v>
      </c>
      <c r="AC63" s="92">
        <v>1</v>
      </c>
      <c r="AD63" s="92">
        <v>1</v>
      </c>
      <c r="AE63" s="92">
        <v>1</v>
      </c>
      <c r="AF63" s="92">
        <v>1</v>
      </c>
      <c r="AG63" s="92">
        <v>1</v>
      </c>
      <c r="AH63" s="92">
        <v>1</v>
      </c>
      <c r="AI63" s="92">
        <v>1</v>
      </c>
      <c r="AJ63" s="92">
        <v>1</v>
      </c>
      <c r="AK63" s="92">
        <v>1</v>
      </c>
      <c r="AL63" s="92">
        <v>1</v>
      </c>
      <c r="AM63" s="92">
        <v>1</v>
      </c>
      <c r="AN63" s="92">
        <v>1</v>
      </c>
      <c r="AO63" s="92">
        <v>1</v>
      </c>
      <c r="AP63" s="92">
        <v>1</v>
      </c>
      <c r="AQ63" s="92">
        <v>1</v>
      </c>
      <c r="AR63" s="92">
        <v>1</v>
      </c>
      <c r="AS63" s="92">
        <v>1</v>
      </c>
      <c r="AT63" s="92">
        <v>1</v>
      </c>
      <c r="AU63" s="92">
        <v>1</v>
      </c>
      <c r="AV63" s="92">
        <v>1</v>
      </c>
      <c r="AW63" s="92">
        <v>1</v>
      </c>
      <c r="AX63" s="92">
        <v>1</v>
      </c>
      <c r="AY63" s="92">
        <v>1</v>
      </c>
      <c r="AZ63" s="92">
        <v>1</v>
      </c>
      <c r="BA63" s="92">
        <v>1</v>
      </c>
      <c r="BB63" s="92">
        <v>1</v>
      </c>
      <c r="BC63" s="92">
        <v>1</v>
      </c>
      <c r="BD63" s="92">
        <v>1</v>
      </c>
      <c r="BE63" s="92">
        <v>1</v>
      </c>
      <c r="BF63" s="92">
        <v>1</v>
      </c>
      <c r="BG63" s="92">
        <v>1</v>
      </c>
      <c r="BH63" s="92">
        <v>1</v>
      </c>
      <c r="BI63" s="92">
        <v>1</v>
      </c>
      <c r="BJ63" s="92">
        <v>1</v>
      </c>
      <c r="BK63" s="92">
        <v>1</v>
      </c>
      <c r="BL63" s="92">
        <v>1</v>
      </c>
      <c r="BM63" s="92">
        <v>1</v>
      </c>
      <c r="BN63" s="92">
        <v>1</v>
      </c>
      <c r="BO63" s="92">
        <v>1</v>
      </c>
      <c r="BP63" s="92">
        <v>1</v>
      </c>
      <c r="BQ63" s="92">
        <v>1</v>
      </c>
      <c r="BR63" s="92">
        <v>1</v>
      </c>
      <c r="BS63" s="92">
        <v>1</v>
      </c>
      <c r="BT63" s="92">
        <v>1</v>
      </c>
      <c r="BU63" s="92">
        <v>1</v>
      </c>
      <c r="BV63" s="92">
        <v>1</v>
      </c>
      <c r="BW63" s="92">
        <v>1</v>
      </c>
      <c r="BX63" s="92">
        <v>1</v>
      </c>
      <c r="BY63" s="92">
        <v>1</v>
      </c>
      <c r="BZ63" s="92">
        <v>1</v>
      </c>
      <c r="CA63" s="92">
        <v>1</v>
      </c>
      <c r="CB63" s="92">
        <v>1</v>
      </c>
      <c r="CC63" s="92">
        <v>1</v>
      </c>
      <c r="CD63" s="92">
        <v>1</v>
      </c>
      <c r="CE63" s="92">
        <v>1</v>
      </c>
      <c r="CF63" s="92">
        <v>1</v>
      </c>
      <c r="CG63" s="92">
        <v>1</v>
      </c>
      <c r="CH63" s="92">
        <v>1</v>
      </c>
      <c r="CI63" s="92">
        <v>1</v>
      </c>
      <c r="CJ63" s="92">
        <v>1</v>
      </c>
      <c r="CK63" s="92">
        <v>1</v>
      </c>
      <c r="CL63" s="92">
        <v>1</v>
      </c>
      <c r="CM63" s="92">
        <v>1</v>
      </c>
      <c r="CN63" s="92">
        <v>1</v>
      </c>
      <c r="CO63" s="92">
        <v>1</v>
      </c>
      <c r="CP63" s="92">
        <v>1</v>
      </c>
      <c r="CQ63" s="92">
        <v>1</v>
      </c>
      <c r="CR63" s="92">
        <v>1</v>
      </c>
      <c r="CS63" s="92">
        <v>1</v>
      </c>
      <c r="CT63" s="92">
        <v>1</v>
      </c>
      <c r="CU63" s="92">
        <v>1</v>
      </c>
      <c r="CV63" s="92">
        <v>1</v>
      </c>
      <c r="CW63" s="92">
        <v>1</v>
      </c>
      <c r="CX63" s="92">
        <v>1</v>
      </c>
      <c r="CY63" s="92">
        <v>1</v>
      </c>
      <c r="CZ63" s="92">
        <v>1</v>
      </c>
      <c r="DA63" s="92">
        <v>1</v>
      </c>
      <c r="DB63" s="92">
        <v>1</v>
      </c>
      <c r="DC63" s="92">
        <v>1</v>
      </c>
      <c r="DD63" s="92">
        <v>1</v>
      </c>
      <c r="DE63" s="92">
        <v>1</v>
      </c>
      <c r="DF63" s="92">
        <v>1</v>
      </c>
      <c r="DG63" s="92">
        <v>1</v>
      </c>
      <c r="DH63" s="92">
        <v>1</v>
      </c>
      <c r="DI63" s="92">
        <v>1</v>
      </c>
      <c r="DJ63" s="92">
        <v>1</v>
      </c>
      <c r="DK63" s="92">
        <v>1</v>
      </c>
      <c r="DL63" s="92">
        <v>1</v>
      </c>
      <c r="DM63" s="92">
        <v>1</v>
      </c>
      <c r="DN63" s="92">
        <v>1</v>
      </c>
      <c r="DO63" s="92">
        <v>1</v>
      </c>
      <c r="DP63" s="92">
        <v>1</v>
      </c>
      <c r="DQ63" s="92">
        <v>1</v>
      </c>
      <c r="DR63" s="92">
        <v>1</v>
      </c>
      <c r="DS63" s="92">
        <v>1</v>
      </c>
      <c r="DT63" s="92">
        <v>1</v>
      </c>
      <c r="DU63" s="92">
        <v>1</v>
      </c>
      <c r="DV63" s="92">
        <v>1</v>
      </c>
      <c r="DW63" s="92">
        <v>1</v>
      </c>
      <c r="DX63" s="92">
        <v>1</v>
      </c>
      <c r="DY63" s="92">
        <v>1</v>
      </c>
      <c r="DZ63" s="92">
        <v>1</v>
      </c>
      <c r="EA63" s="92">
        <v>1</v>
      </c>
      <c r="EB63" s="92">
        <v>1</v>
      </c>
      <c r="EC63" s="92">
        <v>1</v>
      </c>
      <c r="ED63" s="92">
        <v>1</v>
      </c>
      <c r="EE63" s="92">
        <v>1</v>
      </c>
      <c r="EF63" s="92">
        <v>1</v>
      </c>
      <c r="EG63" s="92">
        <v>1</v>
      </c>
      <c r="EH63" s="92">
        <v>1</v>
      </c>
      <c r="EI63" s="92">
        <v>1</v>
      </c>
      <c r="EJ63" s="92">
        <v>1</v>
      </c>
      <c r="EK63" s="92">
        <v>1</v>
      </c>
      <c r="EL63" s="92">
        <v>1</v>
      </c>
      <c r="EM63" s="92">
        <v>1</v>
      </c>
      <c r="EN63" s="92">
        <v>1</v>
      </c>
      <c r="EO63" s="92">
        <v>1</v>
      </c>
      <c r="EP63" s="92">
        <v>1</v>
      </c>
      <c r="EQ63" s="92">
        <v>1</v>
      </c>
      <c r="ER63" s="92">
        <v>1</v>
      </c>
      <c r="ES63" s="92">
        <v>1</v>
      </c>
      <c r="ET63" s="92">
        <v>1</v>
      </c>
      <c r="EU63" s="92">
        <v>1</v>
      </c>
      <c r="EV63" s="92">
        <v>1</v>
      </c>
      <c r="EW63" s="92">
        <v>1</v>
      </c>
      <c r="EX63" s="92">
        <v>1</v>
      </c>
      <c r="EY63" s="92">
        <v>1</v>
      </c>
      <c r="EZ63" s="92">
        <v>1</v>
      </c>
      <c r="FA63" s="92">
        <v>1</v>
      </c>
      <c r="FB63" s="92">
        <v>1</v>
      </c>
      <c r="FC63" s="92">
        <v>1</v>
      </c>
      <c r="FD63" s="92">
        <v>1</v>
      </c>
      <c r="FE63" s="92">
        <v>1</v>
      </c>
      <c r="FF63" s="92">
        <v>1</v>
      </c>
      <c r="FG63" s="92">
        <v>1</v>
      </c>
      <c r="FH63" s="92">
        <v>1</v>
      </c>
      <c r="FI63" s="92">
        <v>1</v>
      </c>
      <c r="FJ63" s="92">
        <v>1</v>
      </c>
      <c r="FK63" s="92">
        <v>1</v>
      </c>
      <c r="FL63" s="92">
        <v>1</v>
      </c>
      <c r="FM63" s="92">
        <v>1</v>
      </c>
      <c r="FN63" s="92">
        <v>1</v>
      </c>
      <c r="FO63" s="92">
        <v>1</v>
      </c>
      <c r="FP63" s="92">
        <v>1</v>
      </c>
      <c r="FQ63" s="92">
        <v>1</v>
      </c>
      <c r="FR63" s="92">
        <v>1</v>
      </c>
      <c r="FS63" s="92">
        <v>1</v>
      </c>
      <c r="FT63" s="92">
        <v>1</v>
      </c>
      <c r="FU63" s="92">
        <v>1</v>
      </c>
      <c r="FV63" s="92">
        <v>1</v>
      </c>
      <c r="FW63" s="92">
        <v>1</v>
      </c>
      <c r="FX63" s="92">
        <v>1</v>
      </c>
      <c r="FY63" s="92">
        <v>1</v>
      </c>
      <c r="FZ63" s="92">
        <v>1</v>
      </c>
      <c r="GA63" s="92">
        <v>1</v>
      </c>
      <c r="GB63" s="92">
        <v>1</v>
      </c>
      <c r="GC63" s="92">
        <v>1</v>
      </c>
    </row>
    <row r="67" spans="2:5" ht="30" customHeight="1" x14ac:dyDescent="0.3">
      <c r="D67" s="101"/>
    </row>
    <row r="68" spans="2:5" ht="30" customHeight="1" x14ac:dyDescent="0.3">
      <c r="B68" t="s">
        <v>41</v>
      </c>
    </row>
    <row r="69" spans="2:5" ht="30" customHeight="1" x14ac:dyDescent="0.3">
      <c r="B69" t="s">
        <v>42</v>
      </c>
      <c r="D69" s="102"/>
      <c r="E69" s="103"/>
    </row>
    <row r="70" spans="2:5" ht="30" customHeight="1" x14ac:dyDescent="0.3">
      <c r="B70" t="s">
        <v>43</v>
      </c>
      <c r="E70" s="104"/>
    </row>
    <row r="71" spans="2:5" ht="30" customHeight="1" x14ac:dyDescent="0.3">
      <c r="B71" t="s">
        <v>44</v>
      </c>
    </row>
    <row r="72" spans="2:5" ht="30" customHeight="1" x14ac:dyDescent="0.3">
      <c r="B72" t="s">
        <v>45</v>
      </c>
    </row>
    <row r="73" spans="2:5" ht="30" customHeight="1" x14ac:dyDescent="0.3">
      <c r="B73" t="s">
        <v>46</v>
      </c>
    </row>
    <row r="74" spans="2:5" ht="30" customHeight="1" x14ac:dyDescent="0.3">
      <c r="B74" t="s">
        <v>47</v>
      </c>
    </row>
    <row r="75" spans="2:5" ht="30" customHeight="1" x14ac:dyDescent="0.3">
      <c r="B75" t="s">
        <v>48</v>
      </c>
    </row>
  </sheetData>
  <mergeCells count="28">
    <mergeCell ref="EK4:EQ4"/>
    <mergeCell ref="ER4:EX4"/>
    <mergeCell ref="D3:E3"/>
    <mergeCell ref="H4:N4"/>
    <mergeCell ref="O4:U4"/>
    <mergeCell ref="V4:AB4"/>
    <mergeCell ref="AC4:AI4"/>
    <mergeCell ref="AJ4:AP4"/>
    <mergeCell ref="AQ4:AW4"/>
    <mergeCell ref="AX4:BD4"/>
    <mergeCell ref="BE4:BK4"/>
    <mergeCell ref="BL4:BR4"/>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s>
  <phoneticPr fontId="33"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57 H58:BC59 BE5:BJ6 BL5:BQ6 BS5:BX6 BZ5:CE6 CG5:CL6 CN5:CS6 CU5:CZ6 DB5:DG6 DI5:DN6 DP5:DU6 DW5:EB6 ED5:EI6 EK5:EP6 ER5:EW6 EY5:FD6 FF5:FK6 FM5:FR6 FT5:FY6">
    <cfRule type="expression" dxfId="26" priority="38">
      <formula>AND(TODAY()&gt;=F$5,TODAY()&lt;G$5)</formula>
    </cfRule>
  </conditionalFormatting>
  <conditionalFormatting sqref="H7:BC7 F8:FZ57 H58:BC59">
    <cfRule type="expression" dxfId="25" priority="33" stopIfTrue="1">
      <formula>AND(task_end&gt;=F$5,task_start&lt;G$5)</formula>
    </cfRule>
  </conditionalFormatting>
  <conditionalFormatting sqref="H7:FZ7 F8:FZ57 H58:FZ59">
    <cfRule type="expression" dxfId="24" priority="32">
      <formula>AND(task_start&lt;=F$5,ROUNDDOWN((task_end-task_start+1)*task_progress,0)+task_start-1&gt;=F$5)</formula>
    </cfRule>
  </conditionalFormatting>
  <conditionalFormatting sqref="BD5:BD6 BD7:BJ7 BZ7:CE7 CU7:CZ7 DB7:DG7 DI7:DN7 BD58:BJ59 BZ58:CE59 CU58:CZ59 DB58:DG59 DI58:DN59">
    <cfRule type="expression" dxfId="23" priority="376">
      <formula>AND(TODAY()&gt;=BD$5,TODAY()&lt;#REF!)</formula>
    </cfRule>
  </conditionalFormatting>
  <conditionalFormatting sqref="BD7:BJ7 BZ7:CE7 CU7:CZ7 DB7:DG7 DI7:DN7 BD58:BJ59 BZ58:CE59 CU58:CZ59 DB58:DG59 DI58:DN59">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58:BY59">
    <cfRule type="expression" dxfId="21" priority="378">
      <formula>AND(TODAY()&gt;=BK$5,TODAY()&lt;GA$5)</formula>
    </cfRule>
  </conditionalFormatting>
  <conditionalFormatting sqref="BK7:BY7 BK58:BY59">
    <cfRule type="expression" dxfId="20" priority="442" stopIfTrue="1">
      <formula>AND(task_end&gt;=BK$5,task_start&lt;GA$5)</formula>
    </cfRule>
  </conditionalFormatting>
  <conditionalFormatting sqref="CF7:CT7 CF58:CT59">
    <cfRule type="expression" dxfId="19" priority="428">
      <formula>AND(TODAY()&gt;=CF$5,TODAY()&lt;GA$5)</formula>
    </cfRule>
    <cfRule type="expression" dxfId="18" priority="438" stopIfTrue="1">
      <formula>AND(task_end&gt;=CF$5,task_start&lt;GA$5)</formula>
    </cfRule>
  </conditionalFormatting>
  <conditionalFormatting sqref="DA7 DA58:DA59">
    <cfRule type="expression" dxfId="17" priority="319">
      <formula>AND(TODAY()&gt;=DA$5,TODAY()&lt;GA$5)</formula>
    </cfRule>
    <cfRule type="expression" dxfId="16" priority="321" stopIfTrue="1">
      <formula>AND(task_end&gt;=DA$5,task_start&lt;GA$5)</formula>
    </cfRule>
  </conditionalFormatting>
  <conditionalFormatting sqref="DH7 DH58:DH59">
    <cfRule type="expression" dxfId="15" priority="272">
      <formula>AND(TODAY()&gt;=DH$5,TODAY()&lt;GA$5)</formula>
    </cfRule>
    <cfRule type="expression" dxfId="14" priority="274" stopIfTrue="1">
      <formula>AND(task_end&gt;=DH$5,task_start&lt;GA$5)</formula>
    </cfRule>
  </conditionalFormatting>
  <conditionalFormatting sqref="DO7:DV7 DO58:DV59">
    <cfRule type="expression" dxfId="13" priority="235">
      <formula>AND(TODAY()&gt;=DO$5,TODAY()&lt;GA$5)</formula>
    </cfRule>
    <cfRule type="expression" dxfId="12" priority="237" stopIfTrue="1">
      <formula>AND(task_end&gt;=DO$5,task_start&lt;GA$5)</formula>
    </cfRule>
  </conditionalFormatting>
  <conditionalFormatting sqref="DW7:EC7 DW58:EC59">
    <cfRule type="expression" dxfId="11" priority="198">
      <formula>AND(TODAY()&gt;=DW$5,TODAY()&lt;GB$5)</formula>
    </cfRule>
    <cfRule type="expression" dxfId="10" priority="200" stopIfTrue="1">
      <formula>AND(task_end&gt;=DW$5,task_start&lt;GB$5)</formula>
    </cfRule>
  </conditionalFormatting>
  <conditionalFormatting sqref="ED7:EQ7 ED58:EQ59">
    <cfRule type="expression" dxfId="9" priority="161">
      <formula>AND(TODAY()&gt;=ED$5,TODAY()&lt;GB$5)</formula>
    </cfRule>
    <cfRule type="expression" dxfId="8" priority="163" stopIfTrue="1">
      <formula>AND(task_end&gt;=ED$5,task_start&lt;GB$5)</formula>
    </cfRule>
  </conditionalFormatting>
  <conditionalFormatting sqref="ER7:EX7 ER58:EX59">
    <cfRule type="expression" dxfId="7" priority="128">
      <formula>AND(TODAY()&gt;=ER$5,TODAY()&lt;GI$5)</formula>
    </cfRule>
    <cfRule type="expression" dxfId="6" priority="130" stopIfTrue="1">
      <formula>AND(task_end&gt;=ER$5,task_start&lt;GI$5)</formula>
    </cfRule>
  </conditionalFormatting>
  <conditionalFormatting sqref="EY7:FE7 EY58:FE59">
    <cfRule type="expression" dxfId="5" priority="103">
      <formula>AND(TODAY()&gt;=EY$5,TODAY()&lt;GI$5)</formula>
    </cfRule>
    <cfRule type="expression" dxfId="4" priority="105" stopIfTrue="1">
      <formula>AND(task_end&gt;=EY$5,task_start&lt;GI$5)</formula>
    </cfRule>
  </conditionalFormatting>
  <conditionalFormatting sqref="FF7:FS7 FF58:FS59">
    <cfRule type="expression" dxfId="3" priority="70">
      <formula>AND(TODAY()&gt;=FF$5,TODAY()&lt;GI$5)</formula>
    </cfRule>
    <cfRule type="expression" dxfId="2" priority="72" stopIfTrue="1">
      <formula>AND(task_end&gt;=FF$5,task_start&lt;GI$5)</formula>
    </cfRule>
  </conditionalFormatting>
  <conditionalFormatting sqref="FT7:FZ7 FT58:FZ59">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A5:Q54"/>
  <sheetViews>
    <sheetView tabSelected="1" topLeftCell="A37" workbookViewId="0">
      <selection activeCell="D54" sqref="D54"/>
    </sheetView>
  </sheetViews>
  <sheetFormatPr defaultRowHeight="14.4" x14ac:dyDescent="0.3"/>
  <cols>
    <col min="9" max="9" width="10.88671875" customWidth="1"/>
  </cols>
  <sheetData>
    <row r="5" spans="2:7" x14ac:dyDescent="0.3">
      <c r="B5" s="114" t="s">
        <v>33</v>
      </c>
      <c r="C5" s="114"/>
      <c r="D5" s="114"/>
      <c r="E5" s="114"/>
      <c r="F5" s="114"/>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row r="20" spans="2:9" x14ac:dyDescent="0.3">
      <c r="C20" t="s">
        <v>81</v>
      </c>
      <c r="E20">
        <v>1415</v>
      </c>
      <c r="F20" t="s">
        <v>82</v>
      </c>
    </row>
    <row r="22" spans="2:9" x14ac:dyDescent="0.3">
      <c r="B22" t="s">
        <v>88</v>
      </c>
      <c r="C22" t="s">
        <v>83</v>
      </c>
      <c r="D22" t="s">
        <v>84</v>
      </c>
      <c r="E22" t="s">
        <v>85</v>
      </c>
      <c r="F22" t="s">
        <v>87</v>
      </c>
      <c r="G22" t="s">
        <v>86</v>
      </c>
      <c r="H22" t="s">
        <v>90</v>
      </c>
      <c r="I22" t="s">
        <v>92</v>
      </c>
    </row>
    <row r="23" spans="2:9" x14ac:dyDescent="0.3">
      <c r="B23">
        <v>1</v>
      </c>
      <c r="C23">
        <v>0</v>
      </c>
      <c r="D23">
        <v>-59760</v>
      </c>
      <c r="E23">
        <f>C23-D23</f>
        <v>59760</v>
      </c>
      <c r="F23">
        <f>IF(E23 &lt; 0, E23*-1, E23)</f>
        <v>59760</v>
      </c>
      <c r="G23">
        <f>$E$20/F23</f>
        <v>2.3678045515394913E-2</v>
      </c>
      <c r="I23" t="s">
        <v>93</v>
      </c>
    </row>
    <row r="24" spans="2:9" x14ac:dyDescent="0.3">
      <c r="B24">
        <v>2</v>
      </c>
      <c r="C24">
        <v>-59760</v>
      </c>
      <c r="D24">
        <v>1238</v>
      </c>
      <c r="E24">
        <f>C24-D24</f>
        <v>-60998</v>
      </c>
      <c r="F24">
        <f t="shared" ref="F24:F37" si="3">IF(E24 &lt; 0, E24*-1, E24)</f>
        <v>60998</v>
      </c>
      <c r="G24">
        <f>$E$20/F24</f>
        <v>2.3197481884651955E-2</v>
      </c>
      <c r="I24" t="s">
        <v>93</v>
      </c>
    </row>
    <row r="25" spans="2:9" x14ac:dyDescent="0.3">
      <c r="B25">
        <v>3</v>
      </c>
      <c r="C25">
        <v>1239</v>
      </c>
      <c r="D25">
        <v>-21564</v>
      </c>
      <c r="E25">
        <f t="shared" ref="E25:E37" si="4">C25-D25</f>
        <v>22803</v>
      </c>
      <c r="F25">
        <f t="shared" si="3"/>
        <v>22803</v>
      </c>
      <c r="G25">
        <f t="shared" ref="G25:G37" si="5">$E$20/F25</f>
        <v>6.205323860895496E-2</v>
      </c>
      <c r="H25" t="s">
        <v>89</v>
      </c>
      <c r="I25" t="s">
        <v>93</v>
      </c>
    </row>
    <row r="26" spans="2:9" x14ac:dyDescent="0.3">
      <c r="B26">
        <v>4</v>
      </c>
      <c r="C26">
        <v>-21565</v>
      </c>
      <c r="D26">
        <v>54607</v>
      </c>
      <c r="E26">
        <f t="shared" si="4"/>
        <v>-76172</v>
      </c>
      <c r="F26">
        <f t="shared" si="3"/>
        <v>76172</v>
      </c>
      <c r="G26">
        <f t="shared" si="5"/>
        <v>1.8576379772094732E-2</v>
      </c>
      <c r="H26" t="s">
        <v>91</v>
      </c>
      <c r="I26" t="s">
        <v>93</v>
      </c>
    </row>
    <row r="27" spans="2:9" x14ac:dyDescent="0.3">
      <c r="B27">
        <v>5</v>
      </c>
      <c r="C27">
        <v>0</v>
      </c>
      <c r="D27">
        <v>-76162</v>
      </c>
      <c r="E27">
        <f t="shared" si="4"/>
        <v>76162</v>
      </c>
      <c r="F27">
        <f t="shared" si="3"/>
        <v>76162</v>
      </c>
      <c r="G27">
        <f t="shared" si="5"/>
        <v>1.8578818833539037E-2</v>
      </c>
      <c r="H27" t="s">
        <v>91</v>
      </c>
      <c r="I27" t="s">
        <v>93</v>
      </c>
    </row>
    <row r="28" spans="2:9" x14ac:dyDescent="0.3">
      <c r="B28">
        <v>6</v>
      </c>
      <c r="C28">
        <v>0</v>
      </c>
      <c r="D28">
        <v>76158</v>
      </c>
      <c r="E28">
        <f t="shared" si="4"/>
        <v>-76158</v>
      </c>
      <c r="F28">
        <f t="shared" si="3"/>
        <v>76158</v>
      </c>
      <c r="G28">
        <f t="shared" si="5"/>
        <v>1.857979463746422E-2</v>
      </c>
      <c r="H28" t="s">
        <v>91</v>
      </c>
      <c r="I28" t="s">
        <v>93</v>
      </c>
    </row>
    <row r="29" spans="2:9" x14ac:dyDescent="0.3">
      <c r="B29">
        <v>7</v>
      </c>
      <c r="C29">
        <v>0</v>
      </c>
      <c r="D29">
        <v>-38079</v>
      </c>
      <c r="E29">
        <f t="shared" si="4"/>
        <v>38079</v>
      </c>
      <c r="F29">
        <f t="shared" si="3"/>
        <v>38079</v>
      </c>
      <c r="G29">
        <f t="shared" si="5"/>
        <v>3.7159589274928441E-2</v>
      </c>
      <c r="H29" t="s">
        <v>89</v>
      </c>
      <c r="I29" t="s">
        <v>93</v>
      </c>
    </row>
    <row r="30" spans="2:9" x14ac:dyDescent="0.3">
      <c r="B30">
        <v>8</v>
      </c>
      <c r="C30">
        <v>24667</v>
      </c>
      <c r="D30">
        <v>-14384</v>
      </c>
      <c r="E30">
        <f t="shared" si="4"/>
        <v>39051</v>
      </c>
      <c r="F30">
        <f t="shared" si="3"/>
        <v>39051</v>
      </c>
      <c r="G30">
        <f t="shared" si="5"/>
        <v>3.6234667486107909E-2</v>
      </c>
      <c r="H30" t="s">
        <v>94</v>
      </c>
      <c r="I30" t="s">
        <v>95</v>
      </c>
    </row>
    <row r="31" spans="2:9" x14ac:dyDescent="0.3">
      <c r="B31">
        <v>9</v>
      </c>
      <c r="C31">
        <v>30256</v>
      </c>
      <c r="D31">
        <v>-24667</v>
      </c>
      <c r="E31">
        <f t="shared" si="4"/>
        <v>54923</v>
      </c>
      <c r="F31">
        <f t="shared" si="3"/>
        <v>54923</v>
      </c>
      <c r="G31">
        <f t="shared" si="5"/>
        <v>2.5763341405240062E-2</v>
      </c>
    </row>
    <row r="32" spans="2:9" x14ac:dyDescent="0.3">
      <c r="B32">
        <v>10</v>
      </c>
      <c r="C32">
        <v>30655</v>
      </c>
      <c r="D32">
        <v>-30256</v>
      </c>
      <c r="E32">
        <f t="shared" si="4"/>
        <v>60911</v>
      </c>
      <c r="F32">
        <f t="shared" si="3"/>
        <v>60911</v>
      </c>
      <c r="G32">
        <f t="shared" si="5"/>
        <v>2.3230615159823349E-2</v>
      </c>
    </row>
    <row r="33" spans="1:17" x14ac:dyDescent="0.3">
      <c r="B33">
        <v>11</v>
      </c>
      <c r="E33">
        <f t="shared" si="4"/>
        <v>0</v>
      </c>
      <c r="F33">
        <f t="shared" si="3"/>
        <v>0</v>
      </c>
      <c r="G33" t="e">
        <f t="shared" si="5"/>
        <v>#DIV/0!</v>
      </c>
    </row>
    <row r="34" spans="1:17" x14ac:dyDescent="0.3">
      <c r="B34">
        <v>12</v>
      </c>
      <c r="E34">
        <f t="shared" si="4"/>
        <v>0</v>
      </c>
      <c r="F34">
        <f t="shared" si="3"/>
        <v>0</v>
      </c>
      <c r="G34" t="e">
        <f t="shared" si="5"/>
        <v>#DIV/0!</v>
      </c>
    </row>
    <row r="35" spans="1:17" x14ac:dyDescent="0.3">
      <c r="B35">
        <v>13</v>
      </c>
      <c r="E35">
        <f t="shared" si="4"/>
        <v>0</v>
      </c>
      <c r="F35">
        <f t="shared" si="3"/>
        <v>0</v>
      </c>
      <c r="G35" t="e">
        <f t="shared" si="5"/>
        <v>#DIV/0!</v>
      </c>
    </row>
    <row r="36" spans="1:17" x14ac:dyDescent="0.3">
      <c r="B36">
        <v>14</v>
      </c>
      <c r="E36">
        <f t="shared" si="4"/>
        <v>0</v>
      </c>
      <c r="F36">
        <f t="shared" si="3"/>
        <v>0</v>
      </c>
      <c r="G36" t="e">
        <f t="shared" si="5"/>
        <v>#DIV/0!</v>
      </c>
    </row>
    <row r="37" spans="1:17" x14ac:dyDescent="0.3">
      <c r="B37">
        <v>15</v>
      </c>
      <c r="E37">
        <f t="shared" si="4"/>
        <v>0</v>
      </c>
      <c r="F37">
        <f t="shared" si="3"/>
        <v>0</v>
      </c>
      <c r="G37" t="e">
        <f t="shared" si="5"/>
        <v>#DIV/0!</v>
      </c>
    </row>
    <row r="42" spans="1:17" x14ac:dyDescent="0.3">
      <c r="C42" t="s">
        <v>82</v>
      </c>
      <c r="D42" t="s">
        <v>96</v>
      </c>
      <c r="E42" t="s">
        <v>97</v>
      </c>
      <c r="F42" t="s">
        <v>98</v>
      </c>
      <c r="G42" t="s">
        <v>99</v>
      </c>
      <c r="H42" t="s">
        <v>100</v>
      </c>
      <c r="I42" t="s">
        <v>101</v>
      </c>
    </row>
    <row r="43" spans="1:17" x14ac:dyDescent="0.3">
      <c r="C43">
        <v>20</v>
      </c>
      <c r="D43">
        <v>999</v>
      </c>
      <c r="E43">
        <v>2</v>
      </c>
      <c r="F43">
        <v>0</v>
      </c>
      <c r="G43">
        <f>D43-E43</f>
        <v>997</v>
      </c>
      <c r="H43">
        <f>C43/G43</f>
        <v>2.0060180541624874E-2</v>
      </c>
      <c r="I43">
        <f>G43/C43</f>
        <v>49.85</v>
      </c>
    </row>
    <row r="44" spans="1:17" x14ac:dyDescent="0.3">
      <c r="A44" s="115"/>
      <c r="B44" s="115"/>
      <c r="C44" s="115">
        <v>165</v>
      </c>
      <c r="D44" s="115">
        <v>2</v>
      </c>
      <c r="E44" s="115">
        <v>9997</v>
      </c>
      <c r="F44" s="115">
        <v>10000</v>
      </c>
      <c r="G44" s="115">
        <f>E44-D44</f>
        <v>9995</v>
      </c>
      <c r="H44" s="115">
        <f>C44/G44</f>
        <v>1.6508254127063533E-2</v>
      </c>
      <c r="I44" s="115">
        <f t="shared" ref="I44:I55" si="6">G44/C44</f>
        <v>60.575757575757578</v>
      </c>
      <c r="J44" s="115"/>
      <c r="K44" s="115"/>
      <c r="L44" s="115"/>
      <c r="M44" s="115"/>
      <c r="N44" s="115"/>
      <c r="O44" s="115"/>
      <c r="P44" s="115"/>
      <c r="Q44" s="115"/>
    </row>
    <row r="45" spans="1:17" x14ac:dyDescent="0.3">
      <c r="A45" s="117" t="s">
        <v>102</v>
      </c>
      <c r="B45" s="117"/>
      <c r="C45" s="117">
        <v>500</v>
      </c>
      <c r="D45" s="117">
        <v>2</v>
      </c>
      <c r="E45" s="117">
        <v>-30002</v>
      </c>
      <c r="F45" s="117">
        <v>-30000</v>
      </c>
      <c r="G45" s="117">
        <f>D45-E45</f>
        <v>30004</v>
      </c>
      <c r="H45" s="117">
        <f>C45/G45</f>
        <v>1.666444474070124E-2</v>
      </c>
      <c r="I45" s="117">
        <f t="shared" si="6"/>
        <v>60.008000000000003</v>
      </c>
      <c r="J45" s="117"/>
      <c r="K45" s="117"/>
      <c r="L45" s="117"/>
      <c r="M45" s="117"/>
      <c r="N45" s="117"/>
      <c r="O45" s="117"/>
      <c r="P45" s="117"/>
      <c r="Q45" s="117"/>
    </row>
    <row r="46" spans="1:17" x14ac:dyDescent="0.3">
      <c r="C46" s="115">
        <v>165</v>
      </c>
      <c r="D46" s="115">
        <v>0</v>
      </c>
      <c r="E46" s="115">
        <v>9996</v>
      </c>
      <c r="F46" s="115">
        <v>10000</v>
      </c>
      <c r="G46" s="115">
        <f>E46</f>
        <v>9996</v>
      </c>
      <c r="H46" s="115">
        <f>C46/G46</f>
        <v>1.6506602641056422E-2</v>
      </c>
      <c r="I46">
        <f t="shared" si="6"/>
        <v>60.581818181818178</v>
      </c>
    </row>
    <row r="47" spans="1:17" x14ac:dyDescent="0.3">
      <c r="C47" s="115">
        <v>498</v>
      </c>
      <c r="D47" s="115">
        <v>0</v>
      </c>
      <c r="E47" s="115">
        <v>30001</v>
      </c>
      <c r="F47" s="115">
        <v>30000</v>
      </c>
      <c r="G47" s="115">
        <f>E47</f>
        <v>30001</v>
      </c>
      <c r="H47" s="115">
        <f>C47/G47</f>
        <v>1.6599446685110496E-2</v>
      </c>
      <c r="I47">
        <f t="shared" si="6"/>
        <v>60.242971887550198</v>
      </c>
    </row>
    <row r="48" spans="1:17" x14ac:dyDescent="0.3">
      <c r="C48" s="115">
        <v>997</v>
      </c>
      <c r="D48" s="116">
        <v>0</v>
      </c>
      <c r="E48" s="116">
        <v>60000</v>
      </c>
      <c r="F48" s="116">
        <v>60000</v>
      </c>
      <c r="G48" s="115">
        <v>60000</v>
      </c>
      <c r="H48" s="115">
        <f>C48/G48</f>
        <v>1.6616666666666665E-2</v>
      </c>
      <c r="I48">
        <f t="shared" si="6"/>
        <v>60.180541624874621</v>
      </c>
    </row>
    <row r="49" spans="3:9" x14ac:dyDescent="0.3">
      <c r="C49" s="116">
        <v>167</v>
      </c>
      <c r="D49" s="116">
        <v>0</v>
      </c>
      <c r="E49" s="116">
        <v>9998</v>
      </c>
      <c r="F49" s="116">
        <v>10000</v>
      </c>
      <c r="G49" s="115">
        <f>E49</f>
        <v>9998</v>
      </c>
      <c r="H49" s="115">
        <f>C49/G49</f>
        <v>1.6703340668133625E-2</v>
      </c>
      <c r="I49">
        <f t="shared" si="6"/>
        <v>59.868263473053894</v>
      </c>
    </row>
    <row r="50" spans="3:9" x14ac:dyDescent="0.3">
      <c r="C50" s="116">
        <v>167</v>
      </c>
      <c r="D50" s="116">
        <v>0</v>
      </c>
      <c r="E50" s="116">
        <v>9998</v>
      </c>
      <c r="F50" s="116">
        <v>10000</v>
      </c>
      <c r="G50" s="115">
        <f>E50</f>
        <v>9998</v>
      </c>
      <c r="H50" s="115">
        <f>C50/G50</f>
        <v>1.6703340668133625E-2</v>
      </c>
      <c r="I50">
        <f t="shared" si="6"/>
        <v>59.868263473053894</v>
      </c>
    </row>
    <row r="51" spans="3:9" x14ac:dyDescent="0.3">
      <c r="C51" s="116">
        <v>499</v>
      </c>
      <c r="D51" s="116">
        <v>0</v>
      </c>
      <c r="E51" s="116">
        <v>30000</v>
      </c>
      <c r="F51" s="116">
        <v>30000</v>
      </c>
      <c r="G51" s="116">
        <f>E51</f>
        <v>30000</v>
      </c>
      <c r="H51" s="115">
        <f t="shared" ref="H51:H54" si="7">C51/G51</f>
        <v>1.6633333333333333E-2</v>
      </c>
      <c r="I51">
        <f t="shared" si="6"/>
        <v>60.120240480961925</v>
      </c>
    </row>
    <row r="52" spans="3:9" x14ac:dyDescent="0.3">
      <c r="C52" s="116">
        <v>499</v>
      </c>
      <c r="D52" s="116">
        <v>0</v>
      </c>
      <c r="E52" s="116">
        <v>29999</v>
      </c>
      <c r="F52" s="116">
        <v>30000</v>
      </c>
      <c r="G52" s="116">
        <f>E52</f>
        <v>29999</v>
      </c>
      <c r="H52" s="115">
        <f t="shared" si="7"/>
        <v>1.6633887796259874E-2</v>
      </c>
      <c r="I52">
        <f t="shared" si="6"/>
        <v>60.118236472945888</v>
      </c>
    </row>
    <row r="53" spans="3:9" x14ac:dyDescent="0.3">
      <c r="C53" s="116">
        <v>997</v>
      </c>
      <c r="D53" s="116">
        <v>0</v>
      </c>
      <c r="E53" s="116">
        <v>60002</v>
      </c>
      <c r="F53" s="116">
        <v>60000</v>
      </c>
      <c r="G53" s="116">
        <f>E53</f>
        <v>60002</v>
      </c>
      <c r="H53" s="115">
        <f t="shared" si="7"/>
        <v>1.6616112796240125E-2</v>
      </c>
      <c r="I53">
        <f t="shared" si="6"/>
        <v>60.182547642928789</v>
      </c>
    </row>
    <row r="54" spans="3:9" x14ac:dyDescent="0.3">
      <c r="C54" s="116">
        <v>996</v>
      </c>
      <c r="D54" s="116">
        <v>0</v>
      </c>
      <c r="E54" s="116">
        <v>59999</v>
      </c>
      <c r="F54" s="116">
        <v>60000</v>
      </c>
      <c r="G54" s="116">
        <f>E54</f>
        <v>59999</v>
      </c>
      <c r="H54" s="115">
        <f t="shared" si="7"/>
        <v>1.6600276671277853E-2</v>
      </c>
      <c r="I54">
        <f t="shared" si="6"/>
        <v>60.239959839357432</v>
      </c>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2025-12-11T08:45:59Z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