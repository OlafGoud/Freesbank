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filterPrivacy="1" codeName="ThisWorkbook"/>
  <xr:revisionPtr revIDLastSave="0" documentId="13_ncr:1_{8A301049-4F9A-4136-ACEF-E0D2A28A248C}" xr6:coauthVersionLast="47" xr6:coauthVersionMax="47" xr10:uidLastSave="{00000000-0000-0000-0000-000000000000}"/>
  <bookViews>
    <workbookView xWindow="28680" yWindow="-120" windowWidth="29040" windowHeight="15720" xr2:uid="{00000000-000D-0000-FFFF-FFFF00000000}"/>
  </bookViews>
  <sheets>
    <sheet name="ProjectPlanning" sheetId="11" r:id="rId1"/>
    <sheet name="Berekeningen" sheetId="13" r:id="rId2"/>
    <sheet name="Over" sheetId="12" state="hidden" r:id="rId3"/>
  </sheets>
  <definedNames>
    <definedName name="_xlnm.Print_Titles" localSheetId="0">ProjectPlanning!$4:$6</definedName>
    <definedName name="Begin_project">ProjectPlanning!$D$3</definedName>
    <definedName name="HOI">ProjectPlanning!$E$4</definedName>
    <definedName name="jestinkt">ProjectPlanning!$E$4</definedName>
    <definedName name="task_end" localSheetId="0">ProjectPlanning!$E1</definedName>
    <definedName name="task_progress" localSheetId="0">ProjectPlanning!$C1</definedName>
    <definedName name="task_start" localSheetId="0">ProjectPlanning!$D1</definedName>
    <definedName name="vandaag" localSheetId="0">TODAY()</definedName>
    <definedName name="Weergegeven_week">ProjectPlanning!$D$4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8" i="11" l="1"/>
  <c r="D22" i="11"/>
  <c r="E22" i="11" s="1"/>
  <c r="D23" i="11"/>
  <c r="E23" i="11" s="1"/>
  <c r="D18" i="11"/>
  <c r="E18" i="11" s="1"/>
  <c r="C14" i="13"/>
  <c r="E14" i="13" s="1"/>
  <c r="E13" i="13"/>
  <c r="D13" i="13"/>
  <c r="C13" i="13"/>
  <c r="C12" i="13"/>
  <c r="D12" i="13" s="1"/>
  <c r="C11" i="13"/>
  <c r="E11" i="13" s="1"/>
  <c r="C10" i="13"/>
  <c r="E10" i="13" s="1"/>
  <c r="B7" i="13"/>
  <c r="D13" i="11"/>
  <c r="E13" i="11"/>
  <c r="E12" i="11"/>
  <c r="D12" i="11"/>
  <c r="D9" i="11"/>
  <c r="D11" i="11"/>
  <c r="D10" i="11"/>
  <c r="E10" i="11"/>
  <c r="E11" i="11"/>
  <c r="E9" i="11"/>
  <c r="D3" i="11"/>
  <c r="D15" i="11" s="1"/>
  <c r="D17" i="11" s="1"/>
  <c r="E17" i="11" s="1"/>
  <c r="G7" i="11"/>
  <c r="E15" i="11" l="1"/>
  <c r="E12" i="13"/>
  <c r="D11" i="13"/>
  <c r="D10" i="13"/>
  <c r="D14" i="13"/>
  <c r="H5" i="11" l="1"/>
  <c r="G59" i="11"/>
  <c r="G58" i="11"/>
  <c r="H6" i="11" l="1"/>
  <c r="I5" i="11" l="1"/>
  <c r="J5" i="11" s="1"/>
  <c r="K5" i="11" s="1"/>
  <c r="L5" i="11" s="1"/>
  <c r="M5" i="11" s="1"/>
  <c r="N5" i="11" s="1"/>
  <c r="O5" i="11" s="1"/>
  <c r="H4" i="11"/>
  <c r="O4" i="11" l="1"/>
  <c r="P5" i="11"/>
  <c r="Q5" i="11" s="1"/>
  <c r="R5" i="11" s="1"/>
  <c r="S5" i="11" s="1"/>
  <c r="T5" i="11" s="1"/>
  <c r="U5" i="11" s="1"/>
  <c r="V5" i="11" s="1"/>
  <c r="I6" i="11"/>
  <c r="V4" i="11" l="1"/>
  <c r="W5" i="11"/>
  <c r="X5" i="11" s="1"/>
  <c r="Y5" i="11" s="1"/>
  <c r="Z5" i="11" s="1"/>
  <c r="AA5" i="11" s="1"/>
  <c r="AB5" i="11" s="1"/>
  <c r="AC5" i="11" s="1"/>
  <c r="J6" i="11"/>
  <c r="AD5" i="11" l="1"/>
  <c r="AE5" i="11" s="1"/>
  <c r="AF5" i="11" s="1"/>
  <c r="AG5" i="11" s="1"/>
  <c r="AH5" i="11" s="1"/>
  <c r="AI5" i="11" s="1"/>
  <c r="AC4" i="11"/>
  <c r="K6" i="11"/>
  <c r="AJ5" i="11" l="1"/>
  <c r="AK5" i="11" s="1"/>
  <c r="AL5" i="11" s="1"/>
  <c r="AM5" i="11" s="1"/>
  <c r="AN5" i="11" s="1"/>
  <c r="AO5" i="11" s="1"/>
  <c r="AP5" i="11" s="1"/>
  <c r="L6" i="11"/>
  <c r="AQ5" i="11" l="1"/>
  <c r="AR5" i="11" s="1"/>
  <c r="AJ4" i="11"/>
  <c r="M6" i="11"/>
  <c r="AS5" i="11" l="1"/>
  <c r="AR6" i="11"/>
  <c r="AQ4" i="11"/>
  <c r="N6" i="11"/>
  <c r="AT5" i="11" l="1"/>
  <c r="AS6" i="11"/>
  <c r="AU5" i="11" l="1"/>
  <c r="AT6" i="11"/>
  <c r="O6" i="11"/>
  <c r="P6" i="11"/>
  <c r="AV5" i="11" l="1"/>
  <c r="AU6" i="11"/>
  <c r="Q6" i="11"/>
  <c r="AW5" i="11" l="1"/>
  <c r="AX5" i="11" s="1"/>
  <c r="AV6" i="11"/>
  <c r="R6" i="11"/>
  <c r="AX6" i="11" l="1"/>
  <c r="AY5" i="11"/>
  <c r="AX4" i="11"/>
  <c r="AW6" i="11"/>
  <c r="S6" i="11"/>
  <c r="AZ5" i="11" l="1"/>
  <c r="AY6" i="11"/>
  <c r="T6" i="11"/>
  <c r="AZ6" i="11" l="1"/>
  <c r="BA5" i="11"/>
  <c r="U6" i="11"/>
  <c r="BA6" i="11" l="1"/>
  <c r="BB5" i="11"/>
  <c r="V6" i="11"/>
  <c r="BB6" i="11" l="1"/>
  <c r="BC5" i="11"/>
  <c r="W6" i="11"/>
  <c r="BD5" i="11" l="1"/>
  <c r="BE5" i="11" s="1"/>
  <c r="BC6" i="11"/>
  <c r="X6" i="11"/>
  <c r="BE6" i="11" l="1"/>
  <c r="BF5" i="11"/>
  <c r="BE4" i="11"/>
  <c r="BD6" i="11"/>
  <c r="Y6" i="11"/>
  <c r="BF6" i="11" l="1"/>
  <c r="BG5" i="11"/>
  <c r="Z6" i="11"/>
  <c r="BG6" i="11" l="1"/>
  <c r="BH5" i="11"/>
  <c r="AA6" i="11"/>
  <c r="BH6" i="11" l="1"/>
  <c r="BI5" i="11"/>
  <c r="AB6" i="11"/>
  <c r="BI6" i="11" l="1"/>
  <c r="BJ5" i="11"/>
  <c r="AC6" i="11"/>
  <c r="BK5" i="11" l="1"/>
  <c r="BJ6" i="11"/>
  <c r="AD6" i="11"/>
  <c r="BK6" i="11" l="1"/>
  <c r="BL5" i="11"/>
  <c r="AE6" i="11"/>
  <c r="BL6" i="11" l="1"/>
  <c r="BL4" i="11"/>
  <c r="BM5" i="11"/>
  <c r="AF6" i="11"/>
  <c r="BN5" i="11" l="1"/>
  <c r="BM6" i="11"/>
  <c r="AG6" i="11"/>
  <c r="BO5" i="11" l="1"/>
  <c r="BN6" i="11"/>
  <c r="AH6" i="11"/>
  <c r="BP5" i="11" l="1"/>
  <c r="BO6" i="11"/>
  <c r="AI6" i="11"/>
  <c r="BP6" i="11" l="1"/>
  <c r="BQ5" i="11"/>
  <c r="AJ6" i="11"/>
  <c r="BR5" i="11" l="1"/>
  <c r="BQ6" i="11"/>
  <c r="AK6" i="11"/>
  <c r="BR6" i="11" l="1"/>
  <c r="BS5" i="11"/>
  <c r="AL6" i="11"/>
  <c r="BS4" i="11" l="1"/>
  <c r="BT5" i="11"/>
  <c r="BS6" i="11"/>
  <c r="AM6" i="11"/>
  <c r="BT6" i="11" l="1"/>
  <c r="BU5" i="11"/>
  <c r="AN6" i="11"/>
  <c r="BV5" i="11" l="1"/>
  <c r="BU6" i="11"/>
  <c r="AO6" i="11"/>
  <c r="BW5" i="11" l="1"/>
  <c r="BV6" i="11"/>
  <c r="AP6" i="11"/>
  <c r="BX5" i="11" l="1"/>
  <c r="BW6" i="11"/>
  <c r="AQ6" i="11"/>
  <c r="BY5" i="11" l="1"/>
  <c r="BX6" i="11"/>
  <c r="BY6" i="11" l="1"/>
  <c r="BZ5" i="11"/>
  <c r="BZ4" i="11" l="1"/>
  <c r="CA5" i="11"/>
  <c r="BZ6" i="11"/>
  <c r="CB5" i="11" l="1"/>
  <c r="CA6" i="11"/>
  <c r="CC5" i="11" l="1"/>
  <c r="CB6" i="11"/>
  <c r="CC6" i="11" l="1"/>
  <c r="CD5" i="11"/>
  <c r="CD6" i="11" l="1"/>
  <c r="CE5" i="11"/>
  <c r="CE6" i="11" l="1"/>
  <c r="CF5" i="11"/>
  <c r="CF6" i="11" l="1"/>
  <c r="CG5" i="11"/>
  <c r="CG4" i="11" l="1"/>
  <c r="CG6" i="11"/>
  <c r="CH5" i="11"/>
  <c r="CI5" i="11" l="1"/>
  <c r="CH6" i="11"/>
  <c r="CJ5" i="11" l="1"/>
  <c r="CI6" i="11"/>
  <c r="CK5" i="11" l="1"/>
  <c r="CJ6" i="11"/>
  <c r="CL5" i="11" l="1"/>
  <c r="CK6" i="11"/>
  <c r="CM5" i="11" l="1"/>
  <c r="CL6" i="11"/>
  <c r="CN5" i="11" l="1"/>
  <c r="CM6" i="11"/>
  <c r="CN4" i="11" l="1"/>
  <c r="CN6" i="11"/>
  <c r="CO5" i="11"/>
  <c r="CO6" i="11" l="1"/>
  <c r="CP5" i="11"/>
  <c r="CP6" i="11" l="1"/>
  <c r="CQ5" i="11"/>
  <c r="CQ6" i="11" l="1"/>
  <c r="CR5" i="11"/>
  <c r="CR6" i="11" l="1"/>
  <c r="CS5" i="11"/>
  <c r="CS6" i="11" l="1"/>
  <c r="CT5" i="11"/>
  <c r="CU5" i="11" l="1"/>
  <c r="CT6" i="11"/>
  <c r="CV5" i="11" l="1"/>
  <c r="CU6" i="11"/>
  <c r="CU4" i="11"/>
  <c r="CW5" i="11" l="1"/>
  <c r="CV6" i="11"/>
  <c r="CX5" i="11" l="1"/>
  <c r="CW6" i="11"/>
  <c r="CY5" i="11" l="1"/>
  <c r="CX6" i="11"/>
  <c r="CZ5" i="11" l="1"/>
  <c r="CY6" i="11"/>
  <c r="CZ6" i="11" l="1"/>
  <c r="DA5" i="11"/>
  <c r="DA6" i="11" l="1"/>
  <c r="DB5" i="11"/>
  <c r="DB6" i="11" l="1"/>
  <c r="DB4" i="11"/>
  <c r="DC5" i="11"/>
  <c r="DC6" i="11" l="1"/>
  <c r="DD5" i="11"/>
  <c r="DD6" i="11" l="1"/>
  <c r="DE5" i="11"/>
  <c r="DE6" i="11" l="1"/>
  <c r="DF5" i="11"/>
  <c r="DF6" i="11" l="1"/>
  <c r="DG5" i="11"/>
  <c r="DG6" i="11" l="1"/>
  <c r="DH5" i="11"/>
  <c r="DH6" i="11" l="1"/>
  <c r="DI5" i="11"/>
  <c r="DI6" i="11" l="1"/>
  <c r="DI4" i="11"/>
  <c r="DJ5" i="11"/>
  <c r="DJ6" i="11" l="1"/>
  <c r="DK5" i="11"/>
  <c r="DL5" i="11" l="1"/>
  <c r="DK6" i="11"/>
  <c r="DM5" i="11" l="1"/>
  <c r="DL6" i="11"/>
  <c r="DM6" i="11" l="1"/>
  <c r="DN5" i="11"/>
  <c r="DN6" i="11" l="1"/>
  <c r="DO5" i="11"/>
  <c r="DO6" i="11" l="1"/>
  <c r="DP5" i="11"/>
  <c r="DP4" i="11" l="1"/>
  <c r="DQ5" i="11"/>
  <c r="DP6" i="11"/>
  <c r="DQ6" i="11" l="1"/>
  <c r="DR5" i="11"/>
  <c r="DR6" i="11" l="1"/>
  <c r="DS5" i="11"/>
  <c r="DS6" i="11" l="1"/>
  <c r="DT5" i="11"/>
  <c r="DT6" i="11" l="1"/>
  <c r="DU5" i="11"/>
  <c r="DU6" i="11" l="1"/>
  <c r="DV5" i="11"/>
  <c r="DV6" i="11" l="1"/>
  <c r="DW5" i="11"/>
  <c r="DW4" i="11" l="1"/>
  <c r="DW6" i="11"/>
  <c r="DX5" i="11"/>
  <c r="DY5" i="11" l="1"/>
  <c r="DX6" i="11"/>
  <c r="DZ5" i="11" l="1"/>
  <c r="DY6" i="11"/>
  <c r="DZ6" i="11" l="1"/>
  <c r="EA5" i="11"/>
  <c r="EA6" i="11" l="1"/>
  <c r="EB5" i="11"/>
  <c r="EB6" i="11" l="1"/>
  <c r="EC5" i="11"/>
  <c r="EC6" i="11" l="1"/>
  <c r="ED5" i="11"/>
  <c r="ED4" i="11" l="1"/>
  <c r="ED6" i="11"/>
  <c r="EE5" i="11"/>
  <c r="EE6" i="11" l="1"/>
  <c r="EF5" i="11"/>
  <c r="EF6" i="11" l="1"/>
  <c r="EG5" i="11"/>
  <c r="EG6" i="11" l="1"/>
  <c r="EH5" i="11"/>
  <c r="EH6" i="11" l="1"/>
  <c r="EI5" i="11"/>
  <c r="EJ5" i="11" l="1"/>
  <c r="EI6" i="11"/>
  <c r="EJ6" i="11" l="1"/>
  <c r="EK5" i="11"/>
  <c r="EL5" i="11" l="1"/>
  <c r="EK4" i="11"/>
  <c r="EK6" i="11"/>
  <c r="EM5" i="11" l="1"/>
  <c r="EL6" i="11"/>
  <c r="EN5" i="11" l="1"/>
  <c r="EM6" i="11"/>
  <c r="EO5" i="11" l="1"/>
  <c r="EN6" i="11"/>
  <c r="EP5" i="11" l="1"/>
  <c r="EO6" i="11"/>
  <c r="EP6" i="11" l="1"/>
  <c r="EQ5" i="11"/>
  <c r="EQ6" i="11" l="1"/>
  <c r="ER5" i="11"/>
  <c r="ER6" i="11" l="1"/>
  <c r="ES5" i="11"/>
  <c r="ER4" i="11"/>
  <c r="ET5" i="11" l="1"/>
  <c r="ES6" i="11"/>
  <c r="EU5" i="11" l="1"/>
  <c r="ET6" i="11"/>
  <c r="EV5" i="11" l="1"/>
  <c r="EU6" i="11"/>
  <c r="EW5" i="11" l="1"/>
  <c r="EV6" i="11"/>
  <c r="EX5" i="11" l="1"/>
  <c r="EW6" i="11"/>
  <c r="EY5" i="11" l="1"/>
  <c r="EX6" i="11"/>
  <c r="EZ5" i="11" l="1"/>
  <c r="EY6" i="11"/>
  <c r="EY4" i="11"/>
  <c r="FA5" i="11" l="1"/>
  <c r="EZ6" i="11"/>
  <c r="FB5" i="11" l="1"/>
  <c r="FA6" i="11"/>
  <c r="FC5" i="11" l="1"/>
  <c r="FB6" i="11"/>
  <c r="FD5" i="11" l="1"/>
  <c r="FC6" i="11"/>
  <c r="FD6" i="11" l="1"/>
  <c r="FE5" i="11"/>
  <c r="FE6" i="11" l="1"/>
  <c r="FF5" i="11"/>
  <c r="FF4" i="11" l="1"/>
  <c r="FG5" i="11"/>
  <c r="FF6" i="11"/>
  <c r="FH5" i="11" l="1"/>
  <c r="FG6" i="11"/>
  <c r="FI5" i="11" l="1"/>
  <c r="FH6" i="11"/>
  <c r="FJ5" i="11" l="1"/>
  <c r="FI6" i="11"/>
  <c r="FK5" i="11" l="1"/>
  <c r="FJ6" i="11"/>
  <c r="FL5" i="11" l="1"/>
  <c r="FK6" i="11"/>
  <c r="FL6" i="11" l="1"/>
  <c r="FM5" i="11"/>
  <c r="FN5" i="11" l="1"/>
  <c r="FM4" i="11"/>
  <c r="FM6" i="11"/>
  <c r="FO5" i="11" l="1"/>
  <c r="FN6" i="11"/>
  <c r="FO6" i="11" l="1"/>
  <c r="FP5" i="11"/>
  <c r="FQ5" i="11" l="1"/>
  <c r="FP6" i="11"/>
  <c r="FQ6" i="11" l="1"/>
  <c r="FR5" i="11"/>
  <c r="FS5" i="11" l="1"/>
  <c r="FR6" i="11"/>
  <c r="FT5" i="11" l="1"/>
  <c r="FS6" i="11"/>
  <c r="FT4" i="11" l="1"/>
  <c r="FU5" i="11"/>
  <c r="FT6" i="11"/>
  <c r="FU6" i="11" l="1"/>
  <c r="FV5" i="11"/>
  <c r="FW5" i="11" l="1"/>
  <c r="FV6" i="11"/>
  <c r="FX5" i="11" l="1"/>
  <c r="FW6" i="11"/>
  <c r="FY5" i="11" l="1"/>
  <c r="FX6" i="11"/>
  <c r="FY6" i="11" l="1"/>
  <c r="FZ5" i="11"/>
  <c r="FZ6" i="11" s="1"/>
</calcChain>
</file>

<file path=xl/sharedStrings.xml><?xml version="1.0" encoding="utf-8"?>
<sst xmlns="http://schemas.openxmlformats.org/spreadsheetml/2006/main" count="85" uniqueCount="81">
  <si>
    <t>TAAK</t>
  </si>
  <si>
    <t>Voeg nieuwe rijen BOVEN deze in</t>
  </si>
  <si>
    <t>VOORTGANG</t>
  </si>
  <si>
    <t>START</t>
  </si>
  <si>
    <t>EINDE</t>
  </si>
  <si>
    <t>DAGEN</t>
  </si>
  <si>
    <t>EENVOUDIGE GANTT-DIAGRAM door Vertex42.com</t>
  </si>
  <si>
    <t>https://www.vertex42.com/ExcelTemplates/simple-gantt-chart.html</t>
  </si>
  <si>
    <t>Over deze sjabloon</t>
  </si>
  <si>
    <t>Deze sjabloon biedt een eenvoudige manier om een Gantt-diagram te maken voor het visualiseren en bijhouden van uw project. Voer gewoon uw taken en de begin- en einddatums in, zonder verplichte formules. De balken in het Gantt-diagram geven de duur van de taak weer en worden weergeven met behulp van voorwaardelijke opmaak. Voeg nieuwe taken in door nieuwe rijen in te voegen.</t>
  </si>
  <si>
    <t>Gids voor schermlezers</t>
  </si>
  <si>
    <t>Deze werkmap bevat twee werkbladen. 
Urenstaat
Over
De instructies voor elk werkblad staan in kolom A, beginnend in cel A1 van elk werkblad. Ze zijn geschreven met verborgen tekst. Elke stap leidt u door de informatie in die rij. Elke volgende stap gaat verder in cel A2, A3 enzovoort, tenzij uitdrukkelijk anderszins vermeld, bijvoorbeeld wanneer de instructietekst voor de volgende stap is: Ga naar cel A6. 
Deze verborgen tekst wordt niet afgedrukt.
Als u deze instructies van het werkblad wilt verwijderen, verwijdert u gewoon kolom A.</t>
  </si>
  <si>
    <t>Aanvullende help</t>
  </si>
  <si>
    <t>Klik op de koppeling hieronder om naar vertex42.com te gaan voor meer informatie over het gebruik van deze sjabloon, bijvoorbeeld hoe u dagen en werkdagen kunt berekenen, taakafhankelijkheden kunt maken, de kleuren van de balken kunt wijzigen, een schuifbalk kunt toevoegen om eenvoudiger de weergeven week te wijzigen, het weergegeven datumbereik in de grafiek kunt uitbreiden, enzovoort.</t>
  </si>
  <si>
    <t>Het eenvoudige Gantt-diagram gebruiken</t>
  </si>
  <si>
    <t>Meer projectmanagementsjablonen</t>
  </si>
  <si>
    <t>Ga naar Vertex42.com om andere projectmanagementsjablonen te downloaden, waaronder verschillende soorten projectplanningen, Gantt-diagrammen, takenlijsten, enzovoort.</t>
  </si>
  <si>
    <t>Projectmanagementsjablonen</t>
  </si>
  <si>
    <t>Over Vertex42</t>
  </si>
  <si>
    <t>Vertex42 biedt meer dan 300 professioneel ontworpen werkbladsjablonen voor bedrijven, thuisgebruik en het onderwijs. De meeste van deze sjablonen kunt u gratis downloaden. Deze verzameling omvat een verscheidenheid aan agenda’s, planners en planningen, en ook werkbladen voor uw persoonlijke financiën, zoals budgettering, schuldverlichting en kredietafschrijvingen.</t>
  </si>
  <si>
    <t>Voor bedrijven zijn er sjablonen beschikbaar voor facturen, urenstaten, voorraadbeheer, financiële overzichten en projectplanning. Docenten en leerlingen/studenten hebben de beschikking over resources zoals bladen voor klassenschema’s, rapporten en aanwezigheidsinfo. Organiseer uw gezinsleven met maaltijdplanners, controlelijsten en sportschema’s. Elke sjabloon is zorgvuldig onderzocht, verfijnd en mettertijd verbeterd op basis van de feedback van duizenden gebruikers.</t>
  </si>
  <si>
    <t>Sens2Sea</t>
  </si>
  <si>
    <t>Olaf Goudriaan</t>
  </si>
  <si>
    <t>Aansturing freesbank</t>
  </si>
  <si>
    <t>Analyseren</t>
  </si>
  <si>
    <t>Ontwerpen</t>
  </si>
  <si>
    <t>Realiseren</t>
  </si>
  <si>
    <t>Deadlines</t>
  </si>
  <si>
    <t>50% Presentatie</t>
  </si>
  <si>
    <t>95% Presentatie</t>
  </si>
  <si>
    <t>50% Inleverset</t>
  </si>
  <si>
    <t>100% Inleverset</t>
  </si>
  <si>
    <t>Vlog</t>
  </si>
  <si>
    <t>Ik had gemeten dat op de machine die er nu staat de band tussen de 40 en 50 mm beweegt. Ook had ik ik geteld dat het ongeveer 20 tanden had.</t>
  </si>
  <si>
    <t>40 mm per tandwiel met 20 tanden</t>
  </si>
  <si>
    <t>= 2 mm per tand op de band</t>
  </si>
  <si>
    <t>Dit heb ik nagemeten en klopte</t>
  </si>
  <si>
    <t>aantal tanden</t>
  </si>
  <si>
    <t>Afstand per rotatie (mm)</t>
  </si>
  <si>
    <t>600PPR nauwkeurigheid (mm)</t>
  </si>
  <si>
    <t>2400 PPR Nauwkeurigheid (mm)</t>
  </si>
  <si>
    <t>Realiseren: Stepper driver</t>
  </si>
  <si>
    <t>Realiseren: Sensor Reader</t>
  </si>
  <si>
    <t>Ontwerpen: FlowDiagram maken</t>
  </si>
  <si>
    <t>Analyseren: GRBL Onderzoeken</t>
  </si>
  <si>
    <t>Analyseren: G-Code Onderzoeken</t>
  </si>
  <si>
    <t>Ontwerpen: Electrisch Schema maken (Test opstelling)</t>
  </si>
  <si>
    <t>Ontwerpen: Electrisch Schema maken (volledig systeem)</t>
  </si>
  <si>
    <t>Realiseren: Sensor Aansluiten</t>
  </si>
  <si>
    <t>Adviseren</t>
  </si>
  <si>
    <t>GRBL Onderzoeken</t>
  </si>
  <si>
    <t>G-Code Onderzoeken</t>
  </si>
  <si>
    <t>Sensor Onderzoeken</t>
  </si>
  <si>
    <t>Vakantie</t>
  </si>
  <si>
    <t>Bedrijfs werk</t>
  </si>
  <si>
    <t>School</t>
  </si>
  <si>
    <t>Vakantie ish, onder voorbehoud</t>
  </si>
  <si>
    <t>P</t>
  </si>
  <si>
    <t>DEADLINE EIND 9.00!!</t>
  </si>
  <si>
    <t>INLEVEREN NU</t>
  </si>
  <si>
    <t>50% oplever</t>
  </si>
  <si>
    <t>Systeem Diagrammen maken</t>
  </si>
  <si>
    <t>Code: Movement Planner</t>
  </si>
  <si>
    <t>Code: G-code verwerker</t>
  </si>
  <si>
    <t>Code: Input parser</t>
  </si>
  <si>
    <t>Code: Serial input</t>
  </si>
  <si>
    <t xml:space="preserve">Code: Stepper </t>
  </si>
  <si>
    <t>Code: sensor</t>
  </si>
  <si>
    <t>Sensor Aansluiten</t>
  </si>
  <si>
    <t>Motor Aansluiten</t>
  </si>
  <si>
    <t>Testplannen schrijven</t>
  </si>
  <si>
    <t>3D / CNC uitzoeken</t>
  </si>
  <si>
    <t>Advies rapporten schrijven</t>
  </si>
  <si>
    <t>Stakeholder Analyse</t>
  </si>
  <si>
    <t>Requirements Opstellen + Scope</t>
  </si>
  <si>
    <t>Systeem Flow Diagram maken (met lifelines)</t>
  </si>
  <si>
    <t>Electrisch Schema maken (Test opstelling)</t>
  </si>
  <si>
    <t>Electrisch Schema maken (Volledige Opstelling)</t>
  </si>
  <si>
    <t>Documentatie Code</t>
  </si>
  <si>
    <t>Versie beheer opzetten</t>
  </si>
  <si>
    <t>Manage &amp; Controle + Professional Skils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</si>
</sst>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0_);_(* \(#,##0\);_(* &quot;-&quot;_);_(@_)"/>
    <numFmt numFmtId="165" formatCode="_(* #,##0.00_);_(* \(#,##0.00\);_(* &quot;-&quot;??_);_(@_)"/>
    <numFmt numFmtId="166" formatCode="ddd\,\ m/d/yyyy"/>
    <numFmt numFmtId="167" formatCode="_-&quot;kr&quot;\ * #,##0.00_-;\-&quot;kr&quot;\ * #,##0.00_-;_-&quot;kr&quot;\ * &quot;-&quot;??_-;_-@_-"/>
    <numFmt numFmtId="168" formatCode="_-&quot;kr&quot;\ * #,##0_-;\-&quot;kr&quot;\ * #,##0_-;_-&quot;kr&quot;\ * &quot;-&quot;_-;_-@_-"/>
    <numFmt numFmtId="169" formatCode="d/mm/yy;@"/>
    <numFmt numFmtId="170" formatCode="d\ mmm\ yyyy"/>
    <numFmt numFmtId="171" formatCode="d"/>
    <numFmt numFmtId="172" formatCode="0.000"/>
  </numFmts>
  <fonts count="36" x14ac:knownFonts="1">
    <font>
      <sz val="11"/>
      <color theme="1"/>
      <name val="Calibri"/>
      <family val="2"/>
      <scheme val="min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11"/>
      <color theme="0" tint="-0.14999847407452621"/>
      <name val="Calibri"/>
      <family val="2"/>
      <scheme val="minor"/>
    </font>
  </fonts>
  <fills count="52">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59999389629810485"/>
        <bgColor indexed="64"/>
      </patternFill>
    </fill>
    <fill>
      <patternFill patternType="solid">
        <fgColor theme="3"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rgb="FFC00000"/>
        <bgColor indexed="64"/>
      </patternFill>
    </fill>
    <fill>
      <patternFill patternType="solid">
        <fgColor theme="1" tint="4.9989318521683403E-2"/>
        <bgColor indexed="64"/>
      </patternFill>
    </fill>
    <fill>
      <patternFill patternType="solid">
        <fgColor theme="0"/>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style="thin">
        <color rgb="FFC00000"/>
      </left>
      <right style="thin">
        <color rgb="FFC00000"/>
      </right>
      <top style="thin">
        <color rgb="FFC00000"/>
      </top>
      <bottom style="thin">
        <color rgb="FFC00000"/>
      </bottom>
      <diagonal/>
    </border>
  </borders>
  <cellStyleXfs count="54">
    <xf numFmtId="0" fontId="0" fillId="0" borderId="0"/>
    <xf numFmtId="0" fontId="2" fillId="0" borderId="0" applyNumberFormat="0" applyFill="0" applyBorder="0" applyAlignment="0" applyProtection="0">
      <alignment vertical="top"/>
      <protection locked="0"/>
    </xf>
    <xf numFmtId="9" fontId="8" fillId="0" borderId="0" applyFont="0" applyFill="0" applyBorder="0" applyAlignment="0" applyProtection="0"/>
    <xf numFmtId="0" fontId="19" fillId="0" borderId="0"/>
    <xf numFmtId="165" fontId="8" fillId="0" borderId="3" applyFont="0" applyFill="0" applyAlignment="0" applyProtection="0"/>
    <xf numFmtId="0" fontId="12"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6" fontId="8" fillId="0" borderId="3">
      <alignment horizontal="center" vertical="center"/>
    </xf>
    <xf numFmtId="169"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22" fillId="0" borderId="0" applyNumberFormat="0" applyFill="0" applyBorder="0" applyAlignment="0" applyProtection="0"/>
    <xf numFmtId="164" fontId="8" fillId="0" borderId="0" applyFont="0" applyFill="0" applyBorder="0" applyAlignment="0" applyProtection="0"/>
    <xf numFmtId="167" fontId="8" fillId="0" borderId="0" applyFont="0" applyFill="0" applyBorder="0" applyAlignment="0" applyProtection="0"/>
    <xf numFmtId="168" fontId="8" fillId="0" borderId="0" applyFont="0" applyFill="0" applyBorder="0" applyAlignment="0" applyProtection="0"/>
    <xf numFmtId="0" fontId="23" fillId="0" borderId="0" applyNumberFormat="0" applyFill="0" applyBorder="0" applyAlignment="0" applyProtection="0"/>
    <xf numFmtId="0" fontId="24" fillId="14" borderId="0" applyNumberFormat="0" applyBorder="0" applyAlignment="0" applyProtection="0"/>
    <xf numFmtId="0" fontId="25" fillId="15" borderId="0" applyNumberFormat="0" applyBorder="0" applyAlignment="0" applyProtection="0"/>
    <xf numFmtId="0" fontId="26" fillId="16" borderId="0" applyNumberFormat="0" applyBorder="0" applyAlignment="0" applyProtection="0"/>
    <xf numFmtId="0" fontId="27" fillId="17" borderId="11" applyNumberFormat="0" applyAlignment="0" applyProtection="0"/>
    <xf numFmtId="0" fontId="28" fillId="18" borderId="12" applyNumberFormat="0" applyAlignment="0" applyProtection="0"/>
    <xf numFmtId="0" fontId="29" fillId="18" borderId="11" applyNumberFormat="0" applyAlignment="0" applyProtection="0"/>
    <xf numFmtId="0" fontId="30" fillId="0" borderId="13" applyNumberFormat="0" applyFill="0" applyAlignment="0" applyProtection="0"/>
    <xf numFmtId="0" fontId="31" fillId="19" borderId="14" applyNumberFormat="0" applyAlignment="0" applyProtection="0"/>
    <xf numFmtId="0" fontId="32" fillId="0" borderId="0" applyNumberFormat="0" applyFill="0" applyBorder="0" applyAlignment="0" applyProtection="0"/>
    <xf numFmtId="0" fontId="8" fillId="20" borderId="15" applyNumberFormat="0" applyFont="0" applyAlignment="0" applyProtection="0"/>
    <xf numFmtId="0" fontId="33" fillId="0" borderId="0" applyNumberFormat="0" applyFill="0" applyBorder="0" applyAlignment="0" applyProtection="0"/>
    <xf numFmtId="0" fontId="5" fillId="0" borderId="16" applyNumberFormat="0" applyFill="0" applyAlignment="0" applyProtection="0"/>
    <xf numFmtId="0" fontId="19" fillId="21"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19" fillId="25"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19" fillId="29"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19" fillId="33" borderId="0" applyNumberFormat="0" applyBorder="0" applyAlignment="0" applyProtection="0"/>
    <xf numFmtId="0" fontId="8" fillId="34" borderId="0" applyNumberFormat="0" applyBorder="0" applyAlignment="0" applyProtection="0"/>
    <xf numFmtId="0" fontId="8" fillId="35" borderId="0" applyNumberFormat="0" applyBorder="0" applyAlignment="0" applyProtection="0"/>
    <xf numFmtId="0" fontId="8" fillId="36" borderId="0" applyNumberFormat="0" applyBorder="0" applyAlignment="0" applyProtection="0"/>
    <xf numFmtId="0" fontId="19" fillId="37" borderId="0" applyNumberFormat="0" applyBorder="0" applyAlignment="0" applyProtection="0"/>
    <xf numFmtId="0" fontId="8" fillId="38" borderId="0" applyNumberFormat="0" applyBorder="0" applyAlignment="0" applyProtection="0"/>
    <xf numFmtId="0" fontId="8" fillId="39" borderId="0" applyNumberFormat="0" applyBorder="0" applyAlignment="0" applyProtection="0"/>
    <xf numFmtId="0" fontId="8" fillId="40" borderId="0" applyNumberFormat="0" applyBorder="0" applyAlignment="0" applyProtection="0"/>
    <xf numFmtId="0" fontId="19" fillId="41" borderId="0" applyNumberFormat="0" applyBorder="0" applyAlignment="0" applyProtection="0"/>
    <xf numFmtId="0" fontId="8" fillId="42" borderId="0" applyNumberFormat="0" applyBorder="0" applyAlignment="0" applyProtection="0"/>
    <xf numFmtId="0" fontId="8" fillId="43" borderId="0" applyNumberFormat="0" applyBorder="0" applyAlignment="0" applyProtection="0"/>
    <xf numFmtId="0" fontId="8" fillId="44" borderId="0" applyNumberFormat="0" applyBorder="0" applyAlignment="0" applyProtection="0"/>
  </cellStyleXfs>
  <cellXfs count="115">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3" borderId="1" xfId="0" applyFont="1" applyFill="1" applyBorder="1" applyAlignment="1">
      <alignment horizontal="left" vertical="center" indent="1"/>
    </xf>
    <xf numFmtId="0" fontId="6"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9" fontId="4" fillId="0" borderId="2" xfId="2" applyFont="1" applyBorder="1" applyAlignment="1">
      <alignment horizontal="center" vertical="center"/>
    </xf>
    <xf numFmtId="0" fontId="4" fillId="0" borderId="2" xfId="0" applyFont="1" applyBorder="1" applyAlignment="1">
      <alignment horizontal="center" vertical="center"/>
    </xf>
    <xf numFmtId="0" fontId="5" fillId="8" borderId="2" xfId="0" applyFont="1" applyFill="1" applyBorder="1" applyAlignment="1">
      <alignment horizontal="left" vertical="center" indent="1"/>
    </xf>
    <xf numFmtId="9" fontId="4" fillId="8" borderId="2" xfId="2" applyFont="1" applyFill="1" applyBorder="1" applyAlignment="1">
      <alignment horizontal="center" vertical="center"/>
    </xf>
    <xf numFmtId="9" fontId="4" fillId="3" borderId="2" xfId="2" applyFont="1" applyFill="1" applyBorder="1" applyAlignment="1">
      <alignment horizontal="center" vertical="center"/>
    </xf>
    <xf numFmtId="0" fontId="5" fillId="9" borderId="2" xfId="0" applyFont="1" applyFill="1" applyBorder="1" applyAlignment="1">
      <alignment horizontal="left" vertical="center" indent="1"/>
    </xf>
    <xf numFmtId="9" fontId="4" fillId="9" borderId="2" xfId="2" applyFont="1" applyFill="1" applyBorder="1" applyAlignment="1">
      <alignment horizontal="center" vertical="center"/>
    </xf>
    <xf numFmtId="9" fontId="4" fillId="4" borderId="2" xfId="2" applyFont="1" applyFill="1" applyBorder="1" applyAlignment="1">
      <alignment horizontal="center" vertical="center"/>
    </xf>
    <xf numFmtId="0" fontId="5" fillId="6" borderId="2" xfId="0" applyFont="1" applyFill="1" applyBorder="1" applyAlignment="1">
      <alignment horizontal="left" vertical="center" indent="1"/>
    </xf>
    <xf numFmtId="9" fontId="4" fillId="6" borderId="2" xfId="2" applyFont="1" applyFill="1" applyBorder="1" applyAlignment="1">
      <alignment horizontal="center" vertical="center"/>
    </xf>
    <xf numFmtId="9" fontId="4" fillId="11" borderId="2" xfId="2"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2" applyFont="1" applyFill="1" applyBorder="1" applyAlignment="1">
      <alignment horizontal="center" vertical="center"/>
    </xf>
    <xf numFmtId="9" fontId="4" fillId="10" borderId="2" xfId="2" applyFont="1" applyFill="1" applyBorder="1" applyAlignment="1">
      <alignment horizontal="center" vertical="center"/>
    </xf>
    <xf numFmtId="0" fontId="7" fillId="2" borderId="2" xfId="0" applyFont="1" applyFill="1" applyBorder="1" applyAlignment="1">
      <alignment horizontal="left" vertical="center" indent="1"/>
    </xf>
    <xf numFmtId="9" fontId="4" fillId="2" borderId="2" xfId="2"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2" borderId="9" xfId="0" applyFill="1" applyBorder="1" applyAlignment="1">
      <alignment vertical="center"/>
    </xf>
    <xf numFmtId="0" fontId="1" fillId="0" borderId="0" xfId="0" applyFont="1" applyAlignment="1">
      <alignment horizontal="center" vertical="center"/>
    </xf>
    <xf numFmtId="0" fontId="1" fillId="0" borderId="0" xfId="0" applyFont="1" applyAlignment="1">
      <alignment vertical="top"/>
    </xf>
    <xf numFmtId="0" fontId="13" fillId="0" borderId="0" xfId="0" applyFont="1" applyAlignment="1">
      <alignment horizontal="left" vertical="center"/>
    </xf>
    <xf numFmtId="0" fontId="14" fillId="0" borderId="0" xfId="0" applyFont="1" applyAlignment="1">
      <alignment horizontal="left" vertical="center"/>
    </xf>
    <xf numFmtId="0" fontId="16" fillId="0" borderId="0" xfId="0" applyFont="1"/>
    <xf numFmtId="0" fontId="18" fillId="0" borderId="0" xfId="0" applyFont="1" applyAlignment="1">
      <alignment vertical="center"/>
    </xf>
    <xf numFmtId="0" fontId="17" fillId="0" borderId="0" xfId="0" applyFont="1" applyAlignment="1">
      <alignment horizontal="left" vertical="top" wrapText="1" indent="1"/>
    </xf>
    <xf numFmtId="0" fontId="1" fillId="0" borderId="0" xfId="0" applyFont="1" applyAlignment="1">
      <alignment horizontal="left" vertical="top"/>
    </xf>
    <xf numFmtId="0" fontId="15" fillId="0" borderId="0" xfId="0" applyFont="1" applyAlignment="1">
      <alignment vertical="top"/>
    </xf>
    <xf numFmtId="0" fontId="2" fillId="0" borderId="0" xfId="1" applyAlignment="1" applyProtection="1">
      <alignment horizontal="left" vertical="top"/>
    </xf>
    <xf numFmtId="0" fontId="0" fillId="0" borderId="0" xfId="0" applyAlignment="1">
      <alignment vertical="top" wrapText="1"/>
    </xf>
    <xf numFmtId="0" fontId="19" fillId="0" borderId="0" xfId="3"/>
    <xf numFmtId="0" fontId="19" fillId="0" borderId="0" xfId="3" applyAlignment="1">
      <alignment wrapText="1"/>
    </xf>
    <xf numFmtId="0" fontId="19" fillId="0" borderId="0" xfId="0" applyFont="1" applyAlignment="1">
      <alignment horizontal="center"/>
    </xf>
    <xf numFmtId="0" fontId="12" fillId="0" borderId="0" xfId="5" applyAlignment="1">
      <alignment horizontal="left"/>
    </xf>
    <xf numFmtId="0" fontId="9" fillId="0" borderId="0" xfId="6"/>
    <xf numFmtId="0" fontId="9" fillId="0" borderId="0" xfId="7">
      <alignment vertical="top"/>
    </xf>
    <xf numFmtId="0" fontId="8" fillId="3" borderId="2" xfId="12" applyFill="1">
      <alignment horizontal="left" vertical="center" indent="2"/>
    </xf>
    <xf numFmtId="0" fontId="8" fillId="4" borderId="2" xfId="12" applyFill="1">
      <alignment horizontal="left" vertical="center" indent="2"/>
    </xf>
    <xf numFmtId="0" fontId="8" fillId="11" borderId="2" xfId="12" applyFill="1">
      <alignment horizontal="left" vertical="center" indent="2"/>
    </xf>
    <xf numFmtId="0" fontId="8" fillId="10" borderId="2" xfId="12" applyFill="1">
      <alignment horizontal="left" vertical="center" indent="2"/>
    </xf>
    <xf numFmtId="0" fontId="8" fillId="0" borderId="2" xfId="12">
      <alignment horizontal="left" vertical="center" indent="2"/>
    </xf>
    <xf numFmtId="0" fontId="0" fillId="0" borderId="10" xfId="0" applyBorder="1"/>
    <xf numFmtId="0" fontId="20" fillId="0" borderId="0" xfId="0" applyFont="1"/>
    <xf numFmtId="0" fontId="21" fillId="0" borderId="0" xfId="1" applyFont="1" applyProtection="1">
      <alignment vertical="top"/>
    </xf>
    <xf numFmtId="0" fontId="4" fillId="0" borderId="0" xfId="0" applyFont="1" applyAlignment="1">
      <alignment vertical="top"/>
    </xf>
    <xf numFmtId="169" fontId="0" fillId="8" borderId="2" xfId="0" applyNumberFormat="1" applyFill="1" applyBorder="1" applyAlignment="1">
      <alignment horizontal="center" vertical="center"/>
    </xf>
    <xf numFmtId="169" fontId="4" fillId="8" borderId="2" xfId="0" applyNumberFormat="1" applyFont="1" applyFill="1" applyBorder="1" applyAlignment="1">
      <alignment horizontal="center" vertical="center"/>
    </xf>
    <xf numFmtId="169" fontId="8" fillId="3" borderId="2" xfId="10" applyNumberFormat="1" applyFill="1">
      <alignment horizontal="center" vertical="center"/>
    </xf>
    <xf numFmtId="169" fontId="0" fillId="9" borderId="2" xfId="0" applyNumberFormat="1" applyFill="1" applyBorder="1" applyAlignment="1">
      <alignment horizontal="center" vertical="center"/>
    </xf>
    <xf numFmtId="169" fontId="4" fillId="9" borderId="2" xfId="0" applyNumberFormat="1" applyFont="1" applyFill="1" applyBorder="1" applyAlignment="1">
      <alignment horizontal="center" vertical="center"/>
    </xf>
    <xf numFmtId="169" fontId="8" fillId="4" borderId="2" xfId="10" applyNumberFormat="1" applyFill="1">
      <alignment horizontal="center" vertical="center"/>
    </xf>
    <xf numFmtId="169" fontId="0" fillId="6" borderId="2" xfId="0" applyNumberFormat="1" applyFill="1" applyBorder="1" applyAlignment="1">
      <alignment horizontal="center" vertical="center"/>
    </xf>
    <xf numFmtId="169" fontId="4" fillId="6" borderId="2" xfId="0" applyNumberFormat="1" applyFont="1" applyFill="1" applyBorder="1" applyAlignment="1">
      <alignment horizontal="center" vertical="center"/>
    </xf>
    <xf numFmtId="169" fontId="8" fillId="11" borderId="2" xfId="10" applyNumberFormat="1" applyFill="1">
      <alignment horizontal="center" vertical="center"/>
    </xf>
    <xf numFmtId="169" fontId="0" fillId="5" borderId="2" xfId="0" applyNumberFormat="1" applyFill="1" applyBorder="1" applyAlignment="1">
      <alignment horizontal="center" vertical="center"/>
    </xf>
    <xf numFmtId="169" fontId="4" fillId="5" borderId="2" xfId="0" applyNumberFormat="1" applyFont="1" applyFill="1" applyBorder="1" applyAlignment="1">
      <alignment horizontal="center" vertical="center"/>
    </xf>
    <xf numFmtId="169" fontId="8" fillId="10" borderId="2" xfId="10" applyNumberFormat="1" applyFill="1">
      <alignment horizontal="center" vertical="center"/>
    </xf>
    <xf numFmtId="169" fontId="8" fillId="0" borderId="2" xfId="10" applyNumberFormat="1">
      <alignment horizontal="center" vertical="center"/>
    </xf>
    <xf numFmtId="171" fontId="10" fillId="7" borderId="6" xfId="0" applyNumberFormat="1" applyFont="1" applyFill="1" applyBorder="1" applyAlignment="1">
      <alignment horizontal="center" vertical="center"/>
    </xf>
    <xf numFmtId="171" fontId="10" fillId="7" borderId="0" xfId="0" applyNumberFormat="1" applyFont="1" applyFill="1" applyAlignment="1">
      <alignment horizontal="center" vertical="center"/>
    </xf>
    <xf numFmtId="171" fontId="10" fillId="7" borderId="7" xfId="0" applyNumberFormat="1" applyFont="1" applyFill="1" applyBorder="1" applyAlignment="1">
      <alignment horizontal="center" vertical="center"/>
    </xf>
    <xf numFmtId="169" fontId="3" fillId="2" borderId="2" xfId="0" applyNumberFormat="1" applyFont="1" applyFill="1" applyBorder="1" applyAlignment="1">
      <alignment horizontal="left" vertical="center"/>
    </xf>
    <xf numFmtId="169" fontId="4" fillId="2" borderId="2" xfId="0" applyNumberFormat="1" applyFont="1" applyFill="1" applyBorder="1" applyAlignment="1">
      <alignment horizontal="center" vertical="center"/>
    </xf>
    <xf numFmtId="0" fontId="8" fillId="0" borderId="7" xfId="8" applyBorder="1">
      <alignment horizontal="right" indent="1"/>
    </xf>
    <xf numFmtId="0" fontId="5" fillId="45" borderId="2" xfId="0" applyFont="1" applyFill="1" applyBorder="1" applyAlignment="1">
      <alignment horizontal="left" vertical="center" indent="1"/>
    </xf>
    <xf numFmtId="9" fontId="4" fillId="45" borderId="2" xfId="2" applyFont="1" applyFill="1" applyBorder="1" applyAlignment="1">
      <alignment horizontal="center" vertical="center"/>
    </xf>
    <xf numFmtId="169" fontId="0" fillId="45" borderId="2" xfId="0" applyNumberFormat="1" applyFill="1" applyBorder="1" applyAlignment="1">
      <alignment horizontal="center" vertical="center"/>
    </xf>
    <xf numFmtId="169" fontId="4" fillId="45" borderId="2" xfId="0" applyNumberFormat="1" applyFont="1" applyFill="1" applyBorder="1" applyAlignment="1">
      <alignment horizontal="center" vertical="center"/>
    </xf>
    <xf numFmtId="0" fontId="8" fillId="46" borderId="2" xfId="12" applyFill="1">
      <alignment horizontal="left" vertical="center" indent="2"/>
    </xf>
    <xf numFmtId="9" fontId="4" fillId="46" borderId="2" xfId="2" applyFont="1" applyFill="1" applyBorder="1" applyAlignment="1">
      <alignment horizontal="center" vertical="center"/>
    </xf>
    <xf numFmtId="169" fontId="8" fillId="46" borderId="2" xfId="10" applyNumberFormat="1" applyFill="1">
      <alignment horizontal="center" vertical="center"/>
    </xf>
    <xf numFmtId="9" fontId="8" fillId="46" borderId="2" xfId="12" applyNumberFormat="1" applyFill="1">
      <alignment horizontal="left" vertical="center" indent="2"/>
    </xf>
    <xf numFmtId="0" fontId="0" fillId="0" borderId="0" xfId="0" quotePrefix="1"/>
    <xf numFmtId="0" fontId="0" fillId="0" borderId="0" xfId="0" applyAlignment="1">
      <alignment horizontal="left" wrapText="1"/>
    </xf>
    <xf numFmtId="0" fontId="0" fillId="0" borderId="0" xfId="0" applyAlignment="1">
      <alignment horizontal="center" wrapText="1"/>
    </xf>
    <xf numFmtId="0" fontId="0" fillId="0" borderId="0" xfId="0" applyAlignment="1">
      <alignment horizontal="left"/>
    </xf>
    <xf numFmtId="172" fontId="0" fillId="0" borderId="0" xfId="0" applyNumberFormat="1" applyAlignment="1">
      <alignment horizontal="center"/>
    </xf>
    <xf numFmtId="0" fontId="8" fillId="47" borderId="2" xfId="12" applyFill="1">
      <alignment horizontal="left" vertical="center" indent="2"/>
    </xf>
    <xf numFmtId="9" fontId="4" fillId="47" borderId="2" xfId="2" applyFont="1" applyFill="1" applyBorder="1" applyAlignment="1">
      <alignment horizontal="center" vertical="center"/>
    </xf>
    <xf numFmtId="169" fontId="8" fillId="47" borderId="2" xfId="10" applyNumberFormat="1" applyFill="1">
      <alignment horizontal="center" vertical="center"/>
    </xf>
    <xf numFmtId="0" fontId="0" fillId="49" borderId="0" xfId="0" applyFill="1"/>
    <xf numFmtId="0" fontId="0" fillId="50" borderId="0" xfId="0" applyFill="1"/>
    <xf numFmtId="0" fontId="19" fillId="50" borderId="0" xfId="0" applyFont="1" applyFill="1"/>
    <xf numFmtId="0" fontId="19" fillId="49" borderId="0" xfId="0" applyFont="1" applyFill="1"/>
    <xf numFmtId="0" fontId="31" fillId="49" borderId="0" xfId="0" applyFont="1" applyFill="1"/>
    <xf numFmtId="0" fontId="19" fillId="0" borderId="0" xfId="0" applyFont="1"/>
    <xf numFmtId="0" fontId="0" fillId="0" borderId="17" xfId="0" applyBorder="1" applyAlignment="1">
      <alignment vertical="center"/>
    </xf>
    <xf numFmtId="0" fontId="0" fillId="2" borderId="17" xfId="0" applyFill="1" applyBorder="1" applyAlignment="1">
      <alignment vertical="center"/>
    </xf>
    <xf numFmtId="0" fontId="0" fillId="0" borderId="18" xfId="0" applyBorder="1" applyAlignment="1">
      <alignment vertical="center"/>
    </xf>
    <xf numFmtId="0" fontId="0" fillId="2" borderId="18" xfId="0" applyFill="1" applyBorder="1" applyAlignment="1">
      <alignment vertical="center"/>
    </xf>
    <xf numFmtId="0" fontId="0" fillId="0" borderId="19" xfId="0" applyBorder="1" applyAlignment="1">
      <alignment vertical="center"/>
    </xf>
    <xf numFmtId="0" fontId="0" fillId="49" borderId="20" xfId="0" applyFill="1" applyBorder="1" applyAlignment="1">
      <alignment vertical="center"/>
    </xf>
    <xf numFmtId="0" fontId="0" fillId="51" borderId="0" xfId="0" applyFill="1"/>
    <xf numFmtId="0" fontId="35" fillId="49" borderId="0" xfId="0" applyFont="1" applyFill="1"/>
    <xf numFmtId="170" fontId="0" fillId="7" borderId="4" xfId="0" applyNumberFormat="1" applyFill="1" applyBorder="1" applyAlignment="1">
      <alignment horizontal="left" vertical="center" wrapText="1" indent="1"/>
    </xf>
    <xf numFmtId="170" fontId="0" fillId="7" borderId="1" xfId="0" applyNumberFormat="1" applyFill="1" applyBorder="1" applyAlignment="1">
      <alignment horizontal="left" vertical="center" wrapText="1" indent="1"/>
    </xf>
    <xf numFmtId="170" fontId="0" fillId="7" borderId="5" xfId="0" applyNumberFormat="1" applyFill="1" applyBorder="1" applyAlignment="1">
      <alignment horizontal="left" vertical="center" wrapText="1" indent="1"/>
    </xf>
    <xf numFmtId="0" fontId="9" fillId="48" borderId="10" xfId="0" applyFont="1" applyFill="1" applyBorder="1" applyAlignment="1">
      <alignment horizontal="center" vertical="center"/>
    </xf>
    <xf numFmtId="0" fontId="0" fillId="48" borderId="10" xfId="0" applyFill="1" applyBorder="1" applyAlignment="1">
      <alignment horizontal="center"/>
    </xf>
    <xf numFmtId="166" fontId="8" fillId="0" borderId="3" xfId="9" applyNumberFormat="1">
      <alignment horizontal="center" vertical="center"/>
    </xf>
    <xf numFmtId="0" fontId="0" fillId="0" borderId="0" xfId="0" applyAlignment="1">
      <alignment horizontal="center" wrapText="1"/>
    </xf>
    <xf numFmtId="14" fontId="0" fillId="0" borderId="0" xfId="0" applyNumberFormat="1" applyAlignment="1">
      <alignment horizontal="center"/>
    </xf>
    <xf numFmtId="2" fontId="0" fillId="0" borderId="0" xfId="0" applyNumberFormat="1" applyAlignment="1">
      <alignment horizontal="center"/>
    </xf>
    <xf numFmtId="2" fontId="0" fillId="0" borderId="0" xfId="0" applyNumberFormat="1"/>
    <xf numFmtId="14" fontId="0" fillId="0" borderId="0" xfId="0" applyNumberFormat="1"/>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egin van het project" xfId="9" xr:uid="{8EB8A09A-C31C-40A3-B2C1-9449520178B8}"/>
    <cellStyle name="Berekening" xfId="23" builtinId="22" customBuiltin="1"/>
    <cellStyle name="Controlecel" xfId="25" builtinId="23" customBuiltin="1"/>
    <cellStyle name="Datum" xfId="10" xr:uid="{229918B6-DD13-4F5A-97B9-305F7E002AA3}"/>
    <cellStyle name="Gekoppelde cel" xfId="24" builtinId="24" customBuiltin="1"/>
    <cellStyle name="Gevolgde hyperlink" xfId="13" builtinId="9" customBuiltin="1"/>
    <cellStyle name="Goed" xfId="18" builtinId="26" customBuiltin="1"/>
    <cellStyle name="Hyperlink" xfId="1" builtinId="8" customBuiltin="1"/>
    <cellStyle name="Invoer" xfId="21" builtinId="20" customBuiltin="1"/>
    <cellStyle name="Komma" xfId="4" builtinId="3" customBuiltin="1"/>
    <cellStyle name="Komma [0]" xfId="14" builtinId="6" customBuiltin="1"/>
    <cellStyle name="Kop 1" xfId="6" builtinId="16" customBuiltin="1"/>
    <cellStyle name="Kop 2" xfId="7" builtinId="17" customBuiltin="1"/>
    <cellStyle name="Kop 3" xfId="8" builtinId="18" customBuiltin="1"/>
    <cellStyle name="Kop 4" xfId="17" builtinId="19" customBuiltin="1"/>
    <cellStyle name="Naam" xfId="11" xr:uid="{B2D3C1EE-6B41-4801-AAFC-C2274E49E503}"/>
    <cellStyle name="Neutraal" xfId="20" builtinId="28" customBuiltin="1"/>
    <cellStyle name="Notitie" xfId="27" builtinId="10" customBuiltin="1"/>
    <cellStyle name="Ongeldig" xfId="19" builtinId="27" customBuiltin="1"/>
    <cellStyle name="Procent" xfId="2" builtinId="5" customBuiltin="1"/>
    <cellStyle name="Standaard" xfId="0" builtinId="0" customBuiltin="1"/>
    <cellStyle name="Taak" xfId="12" xr:uid="{6391D789-272B-4DD2-9BF3-2CDCF610FA41}"/>
    <cellStyle name="Titel" xfId="5" builtinId="15" customBuiltin="1"/>
    <cellStyle name="Totaal" xfId="29" builtinId="25" customBuiltin="1"/>
    <cellStyle name="Uitvoer" xfId="22" builtinId="21" customBuiltin="1"/>
    <cellStyle name="Valuta" xfId="15" builtinId="4" customBuiltin="1"/>
    <cellStyle name="Valuta [0]" xfId="16" builtinId="7" customBuiltin="1"/>
    <cellStyle name="Verklarende tekst" xfId="28" builtinId="53" customBuiltin="1"/>
    <cellStyle name="Waarschuwingstekst" xfId="26" builtinId="11" customBuiltin="1"/>
    <cellStyle name="zHiddenText" xfId="3" xr:uid="{26E66EE6-E33F-4D77-BAE4-0FB4F5BBF673}"/>
  </cellStyles>
  <dxfs count="36">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akenlijst" pivot="0" count="9" xr9:uid="{00000000-0011-0000-FFFF-FFFF00000000}">
      <tableStyleElement type="wholeTable" dxfId="35"/>
      <tableStyleElement type="headerRow" dxfId="34"/>
      <tableStyleElement type="totalRow" dxfId="33"/>
      <tableStyleElement type="firstColumn" dxfId="32"/>
      <tableStyleElement type="lastColumn" dxfId="31"/>
      <tableStyleElement type="firstRowStripe" dxfId="30"/>
      <tableStyleElement type="secondRowStripe" dxfId="29"/>
      <tableStyleElement type="firstColumnStripe" dxfId="28"/>
      <tableStyleElement type="secondColumnStripe" dxfId="2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Afbeelding 1" descr="Vertex42-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GC75"/>
  <sheetViews>
    <sheetView showGridLines="0" tabSelected="1" showRuler="0" zoomScale="85" zoomScaleNormal="85" zoomScalePageLayoutView="70" workbookViewId="0">
      <pane ySplit="6" topLeftCell="A20" activePane="bottomLeft" state="frozen"/>
      <selection pane="bottomLeft" activeCell="C12" sqref="C12"/>
    </sheetView>
  </sheetViews>
  <sheetFormatPr defaultRowHeight="30" customHeight="1" x14ac:dyDescent="0.3"/>
  <cols>
    <col min="1" max="1" width="2.6640625" style="40" customWidth="1"/>
    <col min="2" max="2" width="46.5546875" customWidth="1"/>
    <col min="3" max="3" width="10.6640625" customWidth="1"/>
    <col min="4" max="4" width="10.44140625" style="4" customWidth="1"/>
    <col min="5" max="5" width="10.44140625" customWidth="1"/>
    <col min="6" max="6" width="2.6640625" customWidth="1"/>
    <col min="7" max="7" width="6.109375" hidden="1" customWidth="1"/>
    <col min="8" max="182" width="2.6640625" customWidth="1"/>
    <col min="187" max="188" width="10.33203125"/>
  </cols>
  <sheetData>
    <row r="1" spans="1:185" ht="30" customHeight="1" x14ac:dyDescent="0.55000000000000004">
      <c r="B1" s="43" t="s">
        <v>23</v>
      </c>
      <c r="C1" s="1"/>
      <c r="D1" s="3"/>
      <c r="E1" s="29"/>
      <c r="G1" s="1"/>
      <c r="H1" s="52" t="s">
        <v>6</v>
      </c>
      <c r="AH1" s="103" t="s">
        <v>54</v>
      </c>
      <c r="AI1" s="90"/>
      <c r="AJ1" s="90"/>
      <c r="AK1" s="90"/>
      <c r="AL1" s="90"/>
      <c r="AN1" s="92" t="s">
        <v>55</v>
      </c>
      <c r="AO1" s="92"/>
      <c r="AP1" s="92"/>
      <c r="AQ1" s="92"/>
      <c r="FC1" s="93" t="s">
        <v>59</v>
      </c>
      <c r="FD1" s="93"/>
      <c r="FE1" s="93"/>
      <c r="FF1" s="93"/>
      <c r="FG1" s="93"/>
      <c r="FH1" s="90"/>
      <c r="GC1" s="95">
        <v>1</v>
      </c>
    </row>
    <row r="2" spans="1:185" ht="16.8" customHeight="1" x14ac:dyDescent="0.35">
      <c r="B2" s="44" t="s">
        <v>21</v>
      </c>
      <c r="H2" s="53" t="s">
        <v>7</v>
      </c>
      <c r="CA2" s="94" t="s">
        <v>57</v>
      </c>
      <c r="CG2" s="93" t="s">
        <v>60</v>
      </c>
      <c r="CH2" s="93"/>
      <c r="CI2" s="93"/>
      <c r="CJ2" s="93"/>
      <c r="CK2" s="93"/>
      <c r="EZ2" s="94" t="s">
        <v>57</v>
      </c>
      <c r="FC2" s="90"/>
      <c r="FF2" s="93" t="s">
        <v>58</v>
      </c>
      <c r="FG2" s="93"/>
      <c r="FH2" s="93"/>
      <c r="FI2" s="93"/>
      <c r="FJ2" s="93"/>
      <c r="FK2" s="90"/>
      <c r="FL2" s="90"/>
      <c r="FM2" s="90"/>
      <c r="GC2" s="95">
        <v>1</v>
      </c>
    </row>
    <row r="3" spans="1:185" ht="17.399999999999999" customHeight="1" x14ac:dyDescent="0.3">
      <c r="B3" s="45" t="s">
        <v>22</v>
      </c>
      <c r="C3" s="73"/>
      <c r="D3" s="109">
        <f>DATE(2025, 9, 1)</f>
        <v>45901</v>
      </c>
      <c r="E3" s="109"/>
      <c r="P3" s="91"/>
      <c r="AF3" s="91"/>
      <c r="AR3" s="91"/>
      <c r="AY3" s="90"/>
      <c r="BM3" s="91"/>
      <c r="BN3" s="90"/>
      <c r="BO3" s="107" t="s">
        <v>53</v>
      </c>
      <c r="BP3" s="107"/>
      <c r="BQ3" s="107"/>
      <c r="BR3" s="107"/>
      <c r="BS3" s="107"/>
      <c r="BT3" s="107"/>
      <c r="BU3" s="107"/>
      <c r="BV3" s="107"/>
      <c r="BW3" s="107"/>
      <c r="BX3" s="107"/>
      <c r="BY3" s="107"/>
      <c r="CA3" s="91"/>
      <c r="CG3" s="90"/>
      <c r="CO3" s="91"/>
      <c r="DC3" s="91"/>
      <c r="DP3" s="108" t="s">
        <v>56</v>
      </c>
      <c r="DQ3" s="108"/>
      <c r="DR3" s="108"/>
      <c r="DS3" s="108"/>
      <c r="DT3" s="108"/>
      <c r="DU3" s="108"/>
      <c r="DV3" s="108"/>
      <c r="DW3" s="108"/>
      <c r="DX3" s="108"/>
      <c r="DY3" s="108"/>
      <c r="DZ3" s="108"/>
      <c r="EA3" s="108"/>
      <c r="EB3" s="108"/>
      <c r="EC3" s="108"/>
      <c r="EZ3" s="91"/>
      <c r="FC3" s="90"/>
      <c r="FF3" s="90"/>
      <c r="GC3" s="95">
        <v>1</v>
      </c>
    </row>
    <row r="4" spans="1:185" ht="18" customHeight="1" x14ac:dyDescent="0.3">
      <c r="C4" s="73"/>
      <c r="D4" s="6">
        <v>1</v>
      </c>
      <c r="H4" s="104">
        <f>H5</f>
        <v>45901</v>
      </c>
      <c r="I4" s="105"/>
      <c r="J4" s="105"/>
      <c r="K4" s="105"/>
      <c r="L4" s="105"/>
      <c r="M4" s="105"/>
      <c r="N4" s="106"/>
      <c r="O4" s="104">
        <f>O5</f>
        <v>45908</v>
      </c>
      <c r="P4" s="105"/>
      <c r="Q4" s="105"/>
      <c r="R4" s="105"/>
      <c r="S4" s="105"/>
      <c r="T4" s="105"/>
      <c r="U4" s="106"/>
      <c r="V4" s="104">
        <f>V5</f>
        <v>45915</v>
      </c>
      <c r="W4" s="105"/>
      <c r="X4" s="105"/>
      <c r="Y4" s="105"/>
      <c r="Z4" s="105"/>
      <c r="AA4" s="105"/>
      <c r="AB4" s="106"/>
      <c r="AC4" s="104">
        <f>AC5</f>
        <v>45922</v>
      </c>
      <c r="AD4" s="105"/>
      <c r="AE4" s="105"/>
      <c r="AF4" s="105"/>
      <c r="AG4" s="105"/>
      <c r="AH4" s="105"/>
      <c r="AI4" s="106"/>
      <c r="AJ4" s="104">
        <f>AJ5</f>
        <v>45929</v>
      </c>
      <c r="AK4" s="105"/>
      <c r="AL4" s="105"/>
      <c r="AM4" s="105"/>
      <c r="AN4" s="105"/>
      <c r="AO4" s="105"/>
      <c r="AP4" s="106"/>
      <c r="AQ4" s="104">
        <f>AQ5</f>
        <v>45936</v>
      </c>
      <c r="AR4" s="105"/>
      <c r="AS4" s="105"/>
      <c r="AT4" s="105"/>
      <c r="AU4" s="105"/>
      <c r="AV4" s="105"/>
      <c r="AW4" s="106"/>
      <c r="AX4" s="104">
        <f>AX5</f>
        <v>45943</v>
      </c>
      <c r="AY4" s="105"/>
      <c r="AZ4" s="105"/>
      <c r="BA4" s="105"/>
      <c r="BB4" s="105"/>
      <c r="BC4" s="105"/>
      <c r="BD4" s="106"/>
      <c r="BE4" s="104">
        <f>BE5</f>
        <v>45950</v>
      </c>
      <c r="BF4" s="105"/>
      <c r="BG4" s="105"/>
      <c r="BH4" s="105"/>
      <c r="BI4" s="105"/>
      <c r="BJ4" s="105"/>
      <c r="BK4" s="106"/>
      <c r="BL4" s="104">
        <f>BL5</f>
        <v>45957</v>
      </c>
      <c r="BM4" s="105"/>
      <c r="BN4" s="105"/>
      <c r="BO4" s="105"/>
      <c r="BP4" s="105"/>
      <c r="BQ4" s="105"/>
      <c r="BR4" s="106"/>
      <c r="BS4" s="104">
        <f>BS5</f>
        <v>45964</v>
      </c>
      <c r="BT4" s="105"/>
      <c r="BU4" s="105"/>
      <c r="BV4" s="105"/>
      <c r="BW4" s="105"/>
      <c r="BX4" s="105"/>
      <c r="BY4" s="106"/>
      <c r="BZ4" s="104">
        <f>BZ5</f>
        <v>45971</v>
      </c>
      <c r="CA4" s="105"/>
      <c r="CB4" s="105"/>
      <c r="CC4" s="105"/>
      <c r="CD4" s="105"/>
      <c r="CE4" s="105"/>
      <c r="CF4" s="106"/>
      <c r="CG4" s="104">
        <f>CG5</f>
        <v>45978</v>
      </c>
      <c r="CH4" s="105"/>
      <c r="CI4" s="105"/>
      <c r="CJ4" s="105"/>
      <c r="CK4" s="105"/>
      <c r="CL4" s="105"/>
      <c r="CM4" s="106"/>
      <c r="CN4" s="104">
        <f>CN5</f>
        <v>45985</v>
      </c>
      <c r="CO4" s="105"/>
      <c r="CP4" s="105"/>
      <c r="CQ4" s="105"/>
      <c r="CR4" s="105"/>
      <c r="CS4" s="105"/>
      <c r="CT4" s="106"/>
      <c r="CU4" s="104">
        <f>CU5</f>
        <v>45992</v>
      </c>
      <c r="CV4" s="105"/>
      <c r="CW4" s="105"/>
      <c r="CX4" s="105"/>
      <c r="CY4" s="105"/>
      <c r="CZ4" s="105"/>
      <c r="DA4" s="106"/>
      <c r="DB4" s="104">
        <f t="shared" ref="DB4" si="0">DB5</f>
        <v>45999</v>
      </c>
      <c r="DC4" s="105"/>
      <c r="DD4" s="105"/>
      <c r="DE4" s="105"/>
      <c r="DF4" s="105"/>
      <c r="DG4" s="105"/>
      <c r="DH4" s="106"/>
      <c r="DI4" s="104">
        <f t="shared" ref="DI4" si="1">DI5</f>
        <v>46006</v>
      </c>
      <c r="DJ4" s="105"/>
      <c r="DK4" s="105"/>
      <c r="DL4" s="105"/>
      <c r="DM4" s="105"/>
      <c r="DN4" s="105"/>
      <c r="DO4" s="106"/>
      <c r="DP4" s="104">
        <f t="shared" ref="DP4" si="2">DP5</f>
        <v>46013</v>
      </c>
      <c r="DQ4" s="105"/>
      <c r="DR4" s="105"/>
      <c r="DS4" s="105"/>
      <c r="DT4" s="105"/>
      <c r="DU4" s="105"/>
      <c r="DV4" s="106"/>
      <c r="DW4" s="104">
        <f t="shared" ref="DW4" si="3">DW5</f>
        <v>46020</v>
      </c>
      <c r="DX4" s="105"/>
      <c r="DY4" s="105"/>
      <c r="DZ4" s="105"/>
      <c r="EA4" s="105"/>
      <c r="EB4" s="105"/>
      <c r="EC4" s="106"/>
      <c r="ED4" s="104">
        <f t="shared" ref="ED4" si="4">ED5</f>
        <v>46027</v>
      </c>
      <c r="EE4" s="105"/>
      <c r="EF4" s="105"/>
      <c r="EG4" s="105"/>
      <c r="EH4" s="105"/>
      <c r="EI4" s="105"/>
      <c r="EJ4" s="106"/>
      <c r="EK4" s="104">
        <f t="shared" ref="EK4" si="5">EK5</f>
        <v>46034</v>
      </c>
      <c r="EL4" s="105"/>
      <c r="EM4" s="105"/>
      <c r="EN4" s="105"/>
      <c r="EO4" s="105"/>
      <c r="EP4" s="105"/>
      <c r="EQ4" s="106"/>
      <c r="ER4" s="104">
        <f t="shared" ref="ER4" si="6">ER5</f>
        <v>46041</v>
      </c>
      <c r="ES4" s="105"/>
      <c r="ET4" s="105"/>
      <c r="EU4" s="105"/>
      <c r="EV4" s="105"/>
      <c r="EW4" s="105"/>
      <c r="EX4" s="106"/>
      <c r="EY4" s="104">
        <f t="shared" ref="EY4" si="7">EY5</f>
        <v>46048</v>
      </c>
      <c r="EZ4" s="105"/>
      <c r="FA4" s="105"/>
      <c r="FB4" s="105"/>
      <c r="FC4" s="105"/>
      <c r="FD4" s="105"/>
      <c r="FE4" s="106"/>
      <c r="FF4" s="104">
        <f t="shared" ref="FF4" si="8">FF5</f>
        <v>46055</v>
      </c>
      <c r="FG4" s="105"/>
      <c r="FH4" s="105"/>
      <c r="FI4" s="105"/>
      <c r="FJ4" s="105"/>
      <c r="FK4" s="105"/>
      <c r="FL4" s="106"/>
      <c r="FM4" s="104">
        <f t="shared" ref="FM4" si="9">FM5</f>
        <v>46062</v>
      </c>
      <c r="FN4" s="105"/>
      <c r="FO4" s="105"/>
      <c r="FP4" s="105"/>
      <c r="FQ4" s="105"/>
      <c r="FR4" s="105"/>
      <c r="FS4" s="106"/>
      <c r="FT4" s="104">
        <f t="shared" ref="FT4" si="10">FT5</f>
        <v>46069</v>
      </c>
      <c r="FU4" s="105"/>
      <c r="FV4" s="105"/>
      <c r="FW4" s="105"/>
      <c r="FX4" s="105"/>
      <c r="FY4" s="105"/>
      <c r="FZ4" s="106"/>
      <c r="GC4" s="95">
        <v>1</v>
      </c>
    </row>
    <row r="5" spans="1:185" ht="15" customHeight="1" x14ac:dyDescent="0.3">
      <c r="B5" s="51"/>
      <c r="C5" s="51"/>
      <c r="D5" s="51"/>
      <c r="E5" s="51"/>
      <c r="F5" s="51"/>
      <c r="H5" s="68">
        <f>Begin_project-WEEKDAY(Begin_project,1)+2+7*(Weergegeven_week-1)</f>
        <v>45901</v>
      </c>
      <c r="I5" s="69">
        <f>H5+1</f>
        <v>45902</v>
      </c>
      <c r="J5" s="69">
        <f t="shared" ref="J5:AW5" si="11">I5+1</f>
        <v>45903</v>
      </c>
      <c r="K5" s="69">
        <f t="shared" si="11"/>
        <v>45904</v>
      </c>
      <c r="L5" s="69">
        <f t="shared" si="11"/>
        <v>45905</v>
      </c>
      <c r="M5" s="69">
        <f t="shared" si="11"/>
        <v>45906</v>
      </c>
      <c r="N5" s="70">
        <f t="shared" si="11"/>
        <v>45907</v>
      </c>
      <c r="O5" s="68">
        <f>N5+1</f>
        <v>45908</v>
      </c>
      <c r="P5" s="69">
        <f>O5+1</f>
        <v>45909</v>
      </c>
      <c r="Q5" s="69">
        <f t="shared" si="11"/>
        <v>45910</v>
      </c>
      <c r="R5" s="69">
        <f t="shared" si="11"/>
        <v>45911</v>
      </c>
      <c r="S5" s="69">
        <f t="shared" si="11"/>
        <v>45912</v>
      </c>
      <c r="T5" s="69">
        <f t="shared" si="11"/>
        <v>45913</v>
      </c>
      <c r="U5" s="70">
        <f t="shared" si="11"/>
        <v>45914</v>
      </c>
      <c r="V5" s="68">
        <f>U5+1</f>
        <v>45915</v>
      </c>
      <c r="W5" s="69">
        <f>V5+1</f>
        <v>45916</v>
      </c>
      <c r="X5" s="69">
        <f t="shared" si="11"/>
        <v>45917</v>
      </c>
      <c r="Y5" s="69">
        <f t="shared" si="11"/>
        <v>45918</v>
      </c>
      <c r="Z5" s="69">
        <f t="shared" si="11"/>
        <v>45919</v>
      </c>
      <c r="AA5" s="69">
        <f t="shared" si="11"/>
        <v>45920</v>
      </c>
      <c r="AB5" s="70">
        <f t="shared" si="11"/>
        <v>45921</v>
      </c>
      <c r="AC5" s="68">
        <f>AB5+1</f>
        <v>45922</v>
      </c>
      <c r="AD5" s="69">
        <f>AC5+1</f>
        <v>45923</v>
      </c>
      <c r="AE5" s="69">
        <f t="shared" si="11"/>
        <v>45924</v>
      </c>
      <c r="AF5" s="69">
        <f t="shared" si="11"/>
        <v>45925</v>
      </c>
      <c r="AG5" s="69">
        <f t="shared" si="11"/>
        <v>45926</v>
      </c>
      <c r="AH5" s="69">
        <f t="shared" si="11"/>
        <v>45927</v>
      </c>
      <c r="AI5" s="70">
        <f t="shared" si="11"/>
        <v>45928</v>
      </c>
      <c r="AJ5" s="68">
        <f>AI5+1</f>
        <v>45929</v>
      </c>
      <c r="AK5" s="69">
        <f>AJ5+1</f>
        <v>45930</v>
      </c>
      <c r="AL5" s="69">
        <f t="shared" si="11"/>
        <v>45931</v>
      </c>
      <c r="AM5" s="69">
        <f t="shared" si="11"/>
        <v>45932</v>
      </c>
      <c r="AN5" s="69">
        <f t="shared" si="11"/>
        <v>45933</v>
      </c>
      <c r="AO5" s="69">
        <f t="shared" si="11"/>
        <v>45934</v>
      </c>
      <c r="AP5" s="70">
        <f t="shared" si="11"/>
        <v>45935</v>
      </c>
      <c r="AQ5" s="68">
        <f>AP5+1</f>
        <v>45936</v>
      </c>
      <c r="AR5" s="69">
        <f>AQ5+1</f>
        <v>45937</v>
      </c>
      <c r="AS5" s="69">
        <f t="shared" si="11"/>
        <v>45938</v>
      </c>
      <c r="AT5" s="69">
        <f t="shared" si="11"/>
        <v>45939</v>
      </c>
      <c r="AU5" s="69">
        <f t="shared" si="11"/>
        <v>45940</v>
      </c>
      <c r="AV5" s="69">
        <f t="shared" si="11"/>
        <v>45941</v>
      </c>
      <c r="AW5" s="70">
        <f t="shared" si="11"/>
        <v>45942</v>
      </c>
      <c r="AX5" s="68">
        <f>AW5+1</f>
        <v>45943</v>
      </c>
      <c r="AY5" s="69">
        <f>AX5+1</f>
        <v>45944</v>
      </c>
      <c r="AZ5" s="69">
        <f t="shared" ref="AZ5:BD5" si="12">AY5+1</f>
        <v>45945</v>
      </c>
      <c r="BA5" s="69">
        <f t="shared" si="12"/>
        <v>45946</v>
      </c>
      <c r="BB5" s="69">
        <f t="shared" si="12"/>
        <v>45947</v>
      </c>
      <c r="BC5" s="69">
        <f t="shared" si="12"/>
        <v>45948</v>
      </c>
      <c r="BD5" s="70">
        <f t="shared" si="12"/>
        <v>45949</v>
      </c>
      <c r="BE5" s="68">
        <f>BD5+1</f>
        <v>45950</v>
      </c>
      <c r="BF5" s="69">
        <f>BE5+1</f>
        <v>45951</v>
      </c>
      <c r="BG5" s="69">
        <f t="shared" ref="BG5" si="13">BF5+1</f>
        <v>45952</v>
      </c>
      <c r="BH5" s="69">
        <f t="shared" ref="BH5" si="14">BG5+1</f>
        <v>45953</v>
      </c>
      <c r="BI5" s="69">
        <f t="shared" ref="BI5" si="15">BH5+1</f>
        <v>45954</v>
      </c>
      <c r="BJ5" s="69">
        <f t="shared" ref="BJ5" si="16">BI5+1</f>
        <v>45955</v>
      </c>
      <c r="BK5" s="70">
        <f t="shared" ref="BK5" si="17">BJ5+1</f>
        <v>45956</v>
      </c>
      <c r="BL5" s="68">
        <f>BK5+1</f>
        <v>45957</v>
      </c>
      <c r="BM5" s="69">
        <f>BL5+1</f>
        <v>45958</v>
      </c>
      <c r="BN5" s="69">
        <f t="shared" ref="BN5" si="18">BM5+1</f>
        <v>45959</v>
      </c>
      <c r="BO5" s="69">
        <f t="shared" ref="BO5" si="19">BN5+1</f>
        <v>45960</v>
      </c>
      <c r="BP5" s="69">
        <f t="shared" ref="BP5" si="20">BO5+1</f>
        <v>45961</v>
      </c>
      <c r="BQ5" s="69">
        <f t="shared" ref="BQ5" si="21">BP5+1</f>
        <v>45962</v>
      </c>
      <c r="BR5" s="70">
        <f t="shared" ref="BR5" si="22">BQ5+1</f>
        <v>45963</v>
      </c>
      <c r="BS5" s="68">
        <f>BR5+1</f>
        <v>45964</v>
      </c>
      <c r="BT5" s="69">
        <f>BS5+1</f>
        <v>45965</v>
      </c>
      <c r="BU5" s="69">
        <f t="shared" ref="BU5" si="23">BT5+1</f>
        <v>45966</v>
      </c>
      <c r="BV5" s="69">
        <f t="shared" ref="BV5" si="24">BU5+1</f>
        <v>45967</v>
      </c>
      <c r="BW5" s="69">
        <f t="shared" ref="BW5" si="25">BV5+1</f>
        <v>45968</v>
      </c>
      <c r="BX5" s="69">
        <f t="shared" ref="BX5" si="26">BW5+1</f>
        <v>45969</v>
      </c>
      <c r="BY5" s="70">
        <f t="shared" ref="BY5" si="27">BX5+1</f>
        <v>45970</v>
      </c>
      <c r="BZ5" s="68">
        <f>BY5+1</f>
        <v>45971</v>
      </c>
      <c r="CA5" s="69">
        <f>BZ5+1</f>
        <v>45972</v>
      </c>
      <c r="CB5" s="69">
        <f t="shared" ref="CB5" si="28">CA5+1</f>
        <v>45973</v>
      </c>
      <c r="CC5" s="69">
        <f t="shared" ref="CC5" si="29">CB5+1</f>
        <v>45974</v>
      </c>
      <c r="CD5" s="69">
        <f t="shared" ref="CD5" si="30">CC5+1</f>
        <v>45975</v>
      </c>
      <c r="CE5" s="69">
        <f t="shared" ref="CE5" si="31">CD5+1</f>
        <v>45976</v>
      </c>
      <c r="CF5" s="70">
        <f t="shared" ref="CF5" si="32">CE5+1</f>
        <v>45977</v>
      </c>
      <c r="CG5" s="68">
        <f>CF5+1</f>
        <v>45978</v>
      </c>
      <c r="CH5" s="69">
        <f>CG5+1</f>
        <v>45979</v>
      </c>
      <c r="CI5" s="69">
        <f t="shared" ref="CI5" si="33">CH5+1</f>
        <v>45980</v>
      </c>
      <c r="CJ5" s="69">
        <f t="shared" ref="CJ5" si="34">CI5+1</f>
        <v>45981</v>
      </c>
      <c r="CK5" s="69">
        <f t="shared" ref="CK5" si="35">CJ5+1</f>
        <v>45982</v>
      </c>
      <c r="CL5" s="69">
        <f t="shared" ref="CL5" si="36">CK5+1</f>
        <v>45983</v>
      </c>
      <c r="CM5" s="70">
        <f t="shared" ref="CM5" si="37">CL5+1</f>
        <v>45984</v>
      </c>
      <c r="CN5" s="68">
        <f>CM5+1</f>
        <v>45985</v>
      </c>
      <c r="CO5" s="69">
        <f>CN5+1</f>
        <v>45986</v>
      </c>
      <c r="CP5" s="69">
        <f t="shared" ref="CP5" si="38">CO5+1</f>
        <v>45987</v>
      </c>
      <c r="CQ5" s="69">
        <f t="shared" ref="CQ5" si="39">CP5+1</f>
        <v>45988</v>
      </c>
      <c r="CR5" s="69">
        <f t="shared" ref="CR5" si="40">CQ5+1</f>
        <v>45989</v>
      </c>
      <c r="CS5" s="69">
        <f t="shared" ref="CS5" si="41">CR5+1</f>
        <v>45990</v>
      </c>
      <c r="CT5" s="70">
        <f t="shared" ref="CT5" si="42">CS5+1</f>
        <v>45991</v>
      </c>
      <c r="CU5" s="68">
        <f>CT5+1</f>
        <v>45992</v>
      </c>
      <c r="CV5" s="69">
        <f>CU5+1</f>
        <v>45993</v>
      </c>
      <c r="CW5" s="69">
        <f t="shared" ref="CW5" si="43">CV5+1</f>
        <v>45994</v>
      </c>
      <c r="CX5" s="69">
        <f t="shared" ref="CX5" si="44">CW5+1</f>
        <v>45995</v>
      </c>
      <c r="CY5" s="69">
        <f t="shared" ref="CY5" si="45">CX5+1</f>
        <v>45996</v>
      </c>
      <c r="CZ5" s="69">
        <f t="shared" ref="CZ5" si="46">CY5+1</f>
        <v>45997</v>
      </c>
      <c r="DA5" s="70">
        <f t="shared" ref="DA5:DC5" si="47">CZ5+1</f>
        <v>45998</v>
      </c>
      <c r="DB5" s="68">
        <f t="shared" si="47"/>
        <v>45999</v>
      </c>
      <c r="DC5" s="69">
        <f t="shared" si="47"/>
        <v>46000</v>
      </c>
      <c r="DD5" s="69">
        <f t="shared" ref="DD5" si="48">DC5+1</f>
        <v>46001</v>
      </c>
      <c r="DE5" s="69">
        <f t="shared" ref="DE5" si="49">DD5+1</f>
        <v>46002</v>
      </c>
      <c r="DF5" s="69">
        <f t="shared" ref="DF5" si="50">DE5+1</f>
        <v>46003</v>
      </c>
      <c r="DG5" s="69">
        <f t="shared" ref="DG5" si="51">DF5+1</f>
        <v>46004</v>
      </c>
      <c r="DH5" s="70">
        <f t="shared" ref="DH5:DJ5" si="52">DG5+1</f>
        <v>46005</v>
      </c>
      <c r="DI5" s="68">
        <f t="shared" si="52"/>
        <v>46006</v>
      </c>
      <c r="DJ5" s="69">
        <f t="shared" si="52"/>
        <v>46007</v>
      </c>
      <c r="DK5" s="69">
        <f t="shared" ref="DK5" si="53">DJ5+1</f>
        <v>46008</v>
      </c>
      <c r="DL5" s="69">
        <f t="shared" ref="DL5" si="54">DK5+1</f>
        <v>46009</v>
      </c>
      <c r="DM5" s="69">
        <f t="shared" ref="DM5" si="55">DL5+1</f>
        <v>46010</v>
      </c>
      <c r="DN5" s="69">
        <f t="shared" ref="DN5" si="56">DM5+1</f>
        <v>46011</v>
      </c>
      <c r="DO5" s="70">
        <f t="shared" ref="DO5:DQ5" si="57">DN5+1</f>
        <v>46012</v>
      </c>
      <c r="DP5" s="68">
        <f t="shared" si="57"/>
        <v>46013</v>
      </c>
      <c r="DQ5" s="69">
        <f t="shared" si="57"/>
        <v>46014</v>
      </c>
      <c r="DR5" s="69">
        <f t="shared" ref="DR5" si="58">DQ5+1</f>
        <v>46015</v>
      </c>
      <c r="DS5" s="69">
        <f t="shared" ref="DS5" si="59">DR5+1</f>
        <v>46016</v>
      </c>
      <c r="DT5" s="69">
        <f t="shared" ref="DT5" si="60">DS5+1</f>
        <v>46017</v>
      </c>
      <c r="DU5" s="69">
        <f t="shared" ref="DU5" si="61">DT5+1</f>
        <v>46018</v>
      </c>
      <c r="DV5" s="70">
        <f t="shared" ref="DV5:DX5" si="62">DU5+1</f>
        <v>46019</v>
      </c>
      <c r="DW5" s="68">
        <f t="shared" si="62"/>
        <v>46020</v>
      </c>
      <c r="DX5" s="69">
        <f t="shared" si="62"/>
        <v>46021</v>
      </c>
      <c r="DY5" s="69">
        <f t="shared" ref="DY5" si="63">DX5+1</f>
        <v>46022</v>
      </c>
      <c r="DZ5" s="69">
        <f t="shared" ref="DZ5" si="64">DY5+1</f>
        <v>46023</v>
      </c>
      <c r="EA5" s="69">
        <f t="shared" ref="EA5" si="65">DZ5+1</f>
        <v>46024</v>
      </c>
      <c r="EB5" s="69">
        <f t="shared" ref="EB5" si="66">EA5+1</f>
        <v>46025</v>
      </c>
      <c r="EC5" s="70">
        <f t="shared" ref="EC5:EE5" si="67">EB5+1</f>
        <v>46026</v>
      </c>
      <c r="ED5" s="68">
        <f t="shared" si="67"/>
        <v>46027</v>
      </c>
      <c r="EE5" s="69">
        <f t="shared" si="67"/>
        <v>46028</v>
      </c>
      <c r="EF5" s="69">
        <f t="shared" ref="EF5" si="68">EE5+1</f>
        <v>46029</v>
      </c>
      <c r="EG5" s="69">
        <f t="shared" ref="EG5" si="69">EF5+1</f>
        <v>46030</v>
      </c>
      <c r="EH5" s="69">
        <f t="shared" ref="EH5" si="70">EG5+1</f>
        <v>46031</v>
      </c>
      <c r="EI5" s="69">
        <f t="shared" ref="EI5" si="71">EH5+1</f>
        <v>46032</v>
      </c>
      <c r="EJ5" s="70">
        <f t="shared" ref="EJ5" si="72">EI5+1</f>
        <v>46033</v>
      </c>
      <c r="EK5" s="68">
        <f t="shared" ref="EK5" si="73">EJ5+1</f>
        <v>46034</v>
      </c>
      <c r="EL5" s="69">
        <f t="shared" ref="EL5" si="74">EK5+1</f>
        <v>46035</v>
      </c>
      <c r="EM5" s="69">
        <f t="shared" ref="EM5" si="75">EL5+1</f>
        <v>46036</v>
      </c>
      <c r="EN5" s="69">
        <f t="shared" ref="EN5" si="76">EM5+1</f>
        <v>46037</v>
      </c>
      <c r="EO5" s="69">
        <f t="shared" ref="EO5" si="77">EN5+1</f>
        <v>46038</v>
      </c>
      <c r="EP5" s="69">
        <f t="shared" ref="EP5" si="78">EO5+1</f>
        <v>46039</v>
      </c>
      <c r="EQ5" s="70">
        <f t="shared" ref="EQ5" si="79">EP5+1</f>
        <v>46040</v>
      </c>
      <c r="ER5" s="68">
        <f t="shared" ref="ER5" si="80">EQ5+1</f>
        <v>46041</v>
      </c>
      <c r="ES5" s="69">
        <f t="shared" ref="ES5" si="81">ER5+1</f>
        <v>46042</v>
      </c>
      <c r="ET5" s="69">
        <f t="shared" ref="ET5" si="82">ES5+1</f>
        <v>46043</v>
      </c>
      <c r="EU5" s="69">
        <f t="shared" ref="EU5" si="83">ET5+1</f>
        <v>46044</v>
      </c>
      <c r="EV5" s="69">
        <f t="shared" ref="EV5" si="84">EU5+1</f>
        <v>46045</v>
      </c>
      <c r="EW5" s="69">
        <f t="shared" ref="EW5" si="85">EV5+1</f>
        <v>46046</v>
      </c>
      <c r="EX5" s="70">
        <f t="shared" ref="EX5" si="86">EW5+1</f>
        <v>46047</v>
      </c>
      <c r="EY5" s="68">
        <f t="shared" ref="EY5" si="87">EX5+1</f>
        <v>46048</v>
      </c>
      <c r="EZ5" s="69">
        <f t="shared" ref="EZ5" si="88">EY5+1</f>
        <v>46049</v>
      </c>
      <c r="FA5" s="69">
        <f t="shared" ref="FA5" si="89">EZ5+1</f>
        <v>46050</v>
      </c>
      <c r="FB5" s="69">
        <f t="shared" ref="FB5" si="90">FA5+1</f>
        <v>46051</v>
      </c>
      <c r="FC5" s="69">
        <f t="shared" ref="FC5" si="91">FB5+1</f>
        <v>46052</v>
      </c>
      <c r="FD5" s="69">
        <f t="shared" ref="FD5" si="92">FC5+1</f>
        <v>46053</v>
      </c>
      <c r="FE5" s="70">
        <f t="shared" ref="FE5" si="93">FD5+1</f>
        <v>46054</v>
      </c>
      <c r="FF5" s="68">
        <f t="shared" ref="FF5" si="94">FE5+1</f>
        <v>46055</v>
      </c>
      <c r="FG5" s="69">
        <f t="shared" ref="FG5" si="95">FF5+1</f>
        <v>46056</v>
      </c>
      <c r="FH5" s="69">
        <f t="shared" ref="FH5" si="96">FG5+1</f>
        <v>46057</v>
      </c>
      <c r="FI5" s="69">
        <f t="shared" ref="FI5" si="97">FH5+1</f>
        <v>46058</v>
      </c>
      <c r="FJ5" s="69">
        <f t="shared" ref="FJ5" si="98">FI5+1</f>
        <v>46059</v>
      </c>
      <c r="FK5" s="69">
        <f t="shared" ref="FK5" si="99">FJ5+1</f>
        <v>46060</v>
      </c>
      <c r="FL5" s="70">
        <f t="shared" ref="FL5" si="100">FK5+1</f>
        <v>46061</v>
      </c>
      <c r="FM5" s="68">
        <f t="shared" ref="FM5" si="101">FL5+1</f>
        <v>46062</v>
      </c>
      <c r="FN5" s="69">
        <f t="shared" ref="FN5" si="102">FM5+1</f>
        <v>46063</v>
      </c>
      <c r="FO5" s="69">
        <f t="shared" ref="FO5" si="103">FN5+1</f>
        <v>46064</v>
      </c>
      <c r="FP5" s="69">
        <f t="shared" ref="FP5" si="104">FO5+1</f>
        <v>46065</v>
      </c>
      <c r="FQ5" s="69">
        <f t="shared" ref="FQ5" si="105">FP5+1</f>
        <v>46066</v>
      </c>
      <c r="FR5" s="69">
        <f t="shared" ref="FR5" si="106">FQ5+1</f>
        <v>46067</v>
      </c>
      <c r="FS5" s="70">
        <f t="shared" ref="FS5" si="107">FR5+1</f>
        <v>46068</v>
      </c>
      <c r="FT5" s="68">
        <f t="shared" ref="FT5" si="108">FS5+1</f>
        <v>46069</v>
      </c>
      <c r="FU5" s="69">
        <f t="shared" ref="FU5" si="109">FT5+1</f>
        <v>46070</v>
      </c>
      <c r="FV5" s="69">
        <f t="shared" ref="FV5" si="110">FU5+1</f>
        <v>46071</v>
      </c>
      <c r="FW5" s="69">
        <f t="shared" ref="FW5" si="111">FV5+1</f>
        <v>46072</v>
      </c>
      <c r="FX5" s="69">
        <f t="shared" ref="FX5" si="112">FW5+1</f>
        <v>46073</v>
      </c>
      <c r="FY5" s="69">
        <f t="shared" ref="FY5" si="113">FX5+1</f>
        <v>46074</v>
      </c>
      <c r="FZ5" s="70">
        <f t="shared" ref="FZ5" si="114">FY5+1</f>
        <v>46075</v>
      </c>
      <c r="GC5" s="95">
        <v>1</v>
      </c>
    </row>
    <row r="6" spans="1:185" ht="30" customHeight="1" thickBot="1" x14ac:dyDescent="0.35">
      <c r="B6" s="7" t="s">
        <v>0</v>
      </c>
      <c r="C6" s="8" t="s">
        <v>2</v>
      </c>
      <c r="D6" s="8" t="s">
        <v>3</v>
      </c>
      <c r="E6" s="8" t="s">
        <v>4</v>
      </c>
      <c r="F6" s="8"/>
      <c r="G6" s="8" t="s">
        <v>5</v>
      </c>
      <c r="H6" s="9" t="str">
        <f t="shared" ref="H6" si="115">LEFT(TEXT(H5,"ddd"),1)</f>
        <v>m</v>
      </c>
      <c r="I6" s="9" t="str">
        <f t="shared" ref="I6:AQ6" si="116">LEFT(TEXT(I5,"ddd"),1)</f>
        <v>d</v>
      </c>
      <c r="J6" s="9" t="str">
        <f t="shared" si="116"/>
        <v>w</v>
      </c>
      <c r="K6" s="9" t="str">
        <f t="shared" si="116"/>
        <v>d</v>
      </c>
      <c r="L6" s="9" t="str">
        <f t="shared" si="116"/>
        <v>v</v>
      </c>
      <c r="M6" s="9" t="str">
        <f t="shared" si="116"/>
        <v>z</v>
      </c>
      <c r="N6" s="9" t="str">
        <f t="shared" si="116"/>
        <v>z</v>
      </c>
      <c r="O6" s="9" t="str">
        <f t="shared" si="116"/>
        <v>m</v>
      </c>
      <c r="P6" s="9" t="str">
        <f t="shared" si="116"/>
        <v>d</v>
      </c>
      <c r="Q6" s="9" t="str">
        <f t="shared" si="116"/>
        <v>w</v>
      </c>
      <c r="R6" s="9" t="str">
        <f t="shared" si="116"/>
        <v>d</v>
      </c>
      <c r="S6" s="9" t="str">
        <f t="shared" si="116"/>
        <v>v</v>
      </c>
      <c r="T6" s="9" t="str">
        <f t="shared" si="116"/>
        <v>z</v>
      </c>
      <c r="U6" s="9" t="str">
        <f t="shared" si="116"/>
        <v>z</v>
      </c>
      <c r="V6" s="9" t="str">
        <f t="shared" si="116"/>
        <v>m</v>
      </c>
      <c r="W6" s="9" t="str">
        <f t="shared" si="116"/>
        <v>d</v>
      </c>
      <c r="X6" s="9" t="str">
        <f t="shared" si="116"/>
        <v>w</v>
      </c>
      <c r="Y6" s="9" t="str">
        <f t="shared" si="116"/>
        <v>d</v>
      </c>
      <c r="Z6" s="9" t="str">
        <f t="shared" si="116"/>
        <v>v</v>
      </c>
      <c r="AA6" s="9" t="str">
        <f t="shared" si="116"/>
        <v>z</v>
      </c>
      <c r="AB6" s="9" t="str">
        <f t="shared" si="116"/>
        <v>z</v>
      </c>
      <c r="AC6" s="9" t="str">
        <f t="shared" si="116"/>
        <v>m</v>
      </c>
      <c r="AD6" s="9" t="str">
        <f t="shared" si="116"/>
        <v>d</v>
      </c>
      <c r="AE6" s="9" t="str">
        <f t="shared" si="116"/>
        <v>w</v>
      </c>
      <c r="AF6" s="9" t="str">
        <f t="shared" si="116"/>
        <v>d</v>
      </c>
      <c r="AG6" s="9" t="str">
        <f t="shared" si="116"/>
        <v>v</v>
      </c>
      <c r="AH6" s="9" t="str">
        <f t="shared" si="116"/>
        <v>z</v>
      </c>
      <c r="AI6" s="9" t="str">
        <f t="shared" si="116"/>
        <v>z</v>
      </c>
      <c r="AJ6" s="9" t="str">
        <f t="shared" si="116"/>
        <v>m</v>
      </c>
      <c r="AK6" s="9" t="str">
        <f t="shared" si="116"/>
        <v>d</v>
      </c>
      <c r="AL6" s="9" t="str">
        <f t="shared" si="116"/>
        <v>w</v>
      </c>
      <c r="AM6" s="9" t="str">
        <f t="shared" si="116"/>
        <v>d</v>
      </c>
      <c r="AN6" s="9" t="str">
        <f t="shared" si="116"/>
        <v>v</v>
      </c>
      <c r="AO6" s="9" t="str">
        <f t="shared" si="116"/>
        <v>z</v>
      </c>
      <c r="AP6" s="9" t="str">
        <f t="shared" si="116"/>
        <v>z</v>
      </c>
      <c r="AQ6" s="9" t="str">
        <f t="shared" si="116"/>
        <v>m</v>
      </c>
      <c r="AR6" s="9" t="str">
        <f t="shared" ref="AR6:BD6" si="117">LEFT(TEXT(AR5,"ddd"),1)</f>
        <v>d</v>
      </c>
      <c r="AS6" s="9" t="str">
        <f t="shared" si="117"/>
        <v>w</v>
      </c>
      <c r="AT6" s="9" t="str">
        <f t="shared" si="117"/>
        <v>d</v>
      </c>
      <c r="AU6" s="9" t="str">
        <f t="shared" si="117"/>
        <v>v</v>
      </c>
      <c r="AV6" s="9" t="str">
        <f t="shared" si="117"/>
        <v>z</v>
      </c>
      <c r="AW6" s="9" t="str">
        <f t="shared" si="117"/>
        <v>z</v>
      </c>
      <c r="AX6" s="9" t="str">
        <f t="shared" si="117"/>
        <v>m</v>
      </c>
      <c r="AY6" s="9" t="str">
        <f t="shared" si="117"/>
        <v>d</v>
      </c>
      <c r="AZ6" s="9" t="str">
        <f t="shared" si="117"/>
        <v>w</v>
      </c>
      <c r="BA6" s="9" t="str">
        <f t="shared" si="117"/>
        <v>d</v>
      </c>
      <c r="BB6" s="9" t="str">
        <f t="shared" si="117"/>
        <v>v</v>
      </c>
      <c r="BC6" s="9" t="str">
        <f t="shared" si="117"/>
        <v>z</v>
      </c>
      <c r="BD6" s="9" t="str">
        <f t="shared" si="117"/>
        <v>z</v>
      </c>
      <c r="BE6" s="9" t="str">
        <f t="shared" ref="BE6:BR6" si="118">LEFT(TEXT(BE5,"ddd"),1)</f>
        <v>m</v>
      </c>
      <c r="BF6" s="9" t="str">
        <f t="shared" si="118"/>
        <v>d</v>
      </c>
      <c r="BG6" s="9" t="str">
        <f t="shared" si="118"/>
        <v>w</v>
      </c>
      <c r="BH6" s="9" t="str">
        <f t="shared" si="118"/>
        <v>d</v>
      </c>
      <c r="BI6" s="9" t="str">
        <f t="shared" si="118"/>
        <v>v</v>
      </c>
      <c r="BJ6" s="9" t="str">
        <f t="shared" si="118"/>
        <v>z</v>
      </c>
      <c r="BK6" s="9" t="str">
        <f t="shared" si="118"/>
        <v>z</v>
      </c>
      <c r="BL6" s="9" t="str">
        <f t="shared" si="118"/>
        <v>m</v>
      </c>
      <c r="BM6" s="9" t="str">
        <f t="shared" si="118"/>
        <v>d</v>
      </c>
      <c r="BN6" s="9" t="str">
        <f t="shared" si="118"/>
        <v>w</v>
      </c>
      <c r="BO6" s="9" t="str">
        <f t="shared" si="118"/>
        <v>d</v>
      </c>
      <c r="BP6" s="9" t="str">
        <f t="shared" si="118"/>
        <v>v</v>
      </c>
      <c r="BQ6" s="9" t="str">
        <f t="shared" si="118"/>
        <v>z</v>
      </c>
      <c r="BR6" s="9" t="str">
        <f t="shared" si="118"/>
        <v>z</v>
      </c>
      <c r="BS6" s="9" t="str">
        <f t="shared" ref="BS6:CT6" si="119">LEFT(TEXT(BS5,"ddd"),1)</f>
        <v>m</v>
      </c>
      <c r="BT6" s="9" t="str">
        <f t="shared" si="119"/>
        <v>d</v>
      </c>
      <c r="BU6" s="9" t="str">
        <f t="shared" si="119"/>
        <v>w</v>
      </c>
      <c r="BV6" s="9" t="str">
        <f t="shared" si="119"/>
        <v>d</v>
      </c>
      <c r="BW6" s="9" t="str">
        <f t="shared" si="119"/>
        <v>v</v>
      </c>
      <c r="BX6" s="9" t="str">
        <f t="shared" si="119"/>
        <v>z</v>
      </c>
      <c r="BY6" s="9" t="str">
        <f t="shared" si="119"/>
        <v>z</v>
      </c>
      <c r="BZ6" s="9" t="str">
        <f t="shared" si="119"/>
        <v>m</v>
      </c>
      <c r="CA6" s="9" t="str">
        <f t="shared" si="119"/>
        <v>d</v>
      </c>
      <c r="CB6" s="9" t="str">
        <f t="shared" si="119"/>
        <v>w</v>
      </c>
      <c r="CC6" s="9" t="str">
        <f t="shared" si="119"/>
        <v>d</v>
      </c>
      <c r="CD6" s="9" t="str">
        <f t="shared" si="119"/>
        <v>v</v>
      </c>
      <c r="CE6" s="9" t="str">
        <f t="shared" si="119"/>
        <v>z</v>
      </c>
      <c r="CF6" s="9" t="str">
        <f t="shared" si="119"/>
        <v>z</v>
      </c>
      <c r="CG6" s="9" t="str">
        <f t="shared" si="119"/>
        <v>m</v>
      </c>
      <c r="CH6" s="9" t="str">
        <f t="shared" si="119"/>
        <v>d</v>
      </c>
      <c r="CI6" s="9" t="str">
        <f t="shared" si="119"/>
        <v>w</v>
      </c>
      <c r="CJ6" s="9" t="str">
        <f t="shared" si="119"/>
        <v>d</v>
      </c>
      <c r="CK6" s="9" t="str">
        <f t="shared" si="119"/>
        <v>v</v>
      </c>
      <c r="CL6" s="9" t="str">
        <f t="shared" si="119"/>
        <v>z</v>
      </c>
      <c r="CM6" s="9" t="str">
        <f t="shared" si="119"/>
        <v>z</v>
      </c>
      <c r="CN6" s="9" t="str">
        <f t="shared" si="119"/>
        <v>m</v>
      </c>
      <c r="CO6" s="9" t="str">
        <f t="shared" si="119"/>
        <v>d</v>
      </c>
      <c r="CP6" s="9" t="str">
        <f t="shared" si="119"/>
        <v>w</v>
      </c>
      <c r="CQ6" s="9" t="str">
        <f t="shared" si="119"/>
        <v>d</v>
      </c>
      <c r="CR6" s="9" t="str">
        <f t="shared" si="119"/>
        <v>v</v>
      </c>
      <c r="CS6" s="9" t="str">
        <f t="shared" si="119"/>
        <v>z</v>
      </c>
      <c r="CT6" s="9" t="str">
        <f t="shared" si="119"/>
        <v>z</v>
      </c>
      <c r="CU6" s="9" t="str">
        <f t="shared" ref="CU6:DA6" si="120">LEFT(TEXT(CU5,"ddd"),1)</f>
        <v>m</v>
      </c>
      <c r="CV6" s="9" t="str">
        <f t="shared" si="120"/>
        <v>d</v>
      </c>
      <c r="CW6" s="9" t="str">
        <f t="shared" si="120"/>
        <v>w</v>
      </c>
      <c r="CX6" s="9" t="str">
        <f t="shared" si="120"/>
        <v>d</v>
      </c>
      <c r="CY6" s="9" t="str">
        <f t="shared" si="120"/>
        <v>v</v>
      </c>
      <c r="CZ6" s="9" t="str">
        <f t="shared" si="120"/>
        <v>z</v>
      </c>
      <c r="DA6" s="9" t="str">
        <f t="shared" si="120"/>
        <v>z</v>
      </c>
      <c r="DB6" s="9" t="str">
        <f t="shared" ref="DB6:EJ6" si="121">LEFT(TEXT(DB5,"ddd"),1)</f>
        <v>m</v>
      </c>
      <c r="DC6" s="9" t="str">
        <f t="shared" si="121"/>
        <v>d</v>
      </c>
      <c r="DD6" s="9" t="str">
        <f t="shared" si="121"/>
        <v>w</v>
      </c>
      <c r="DE6" s="9" t="str">
        <f t="shared" si="121"/>
        <v>d</v>
      </c>
      <c r="DF6" s="9" t="str">
        <f t="shared" si="121"/>
        <v>v</v>
      </c>
      <c r="DG6" s="9" t="str">
        <f t="shared" si="121"/>
        <v>z</v>
      </c>
      <c r="DH6" s="9" t="str">
        <f t="shared" si="121"/>
        <v>z</v>
      </c>
      <c r="DI6" s="9" t="str">
        <f t="shared" si="121"/>
        <v>m</v>
      </c>
      <c r="DJ6" s="9" t="str">
        <f t="shared" si="121"/>
        <v>d</v>
      </c>
      <c r="DK6" s="9" t="str">
        <f t="shared" si="121"/>
        <v>w</v>
      </c>
      <c r="DL6" s="9" t="str">
        <f t="shared" si="121"/>
        <v>d</v>
      </c>
      <c r="DM6" s="9" t="str">
        <f t="shared" si="121"/>
        <v>v</v>
      </c>
      <c r="DN6" s="9" t="str">
        <f t="shared" si="121"/>
        <v>z</v>
      </c>
      <c r="DO6" s="9" t="str">
        <f t="shared" si="121"/>
        <v>z</v>
      </c>
      <c r="DP6" s="9" t="str">
        <f t="shared" si="121"/>
        <v>m</v>
      </c>
      <c r="DQ6" s="9" t="str">
        <f t="shared" si="121"/>
        <v>d</v>
      </c>
      <c r="DR6" s="9" t="str">
        <f t="shared" si="121"/>
        <v>w</v>
      </c>
      <c r="DS6" s="9" t="str">
        <f t="shared" si="121"/>
        <v>d</v>
      </c>
      <c r="DT6" s="9" t="str">
        <f t="shared" si="121"/>
        <v>v</v>
      </c>
      <c r="DU6" s="9" t="str">
        <f t="shared" si="121"/>
        <v>z</v>
      </c>
      <c r="DV6" s="9" t="str">
        <f t="shared" si="121"/>
        <v>z</v>
      </c>
      <c r="DW6" s="9" t="str">
        <f t="shared" si="121"/>
        <v>m</v>
      </c>
      <c r="DX6" s="9" t="str">
        <f t="shared" si="121"/>
        <v>d</v>
      </c>
      <c r="DY6" s="9" t="str">
        <f t="shared" si="121"/>
        <v>w</v>
      </c>
      <c r="DZ6" s="9" t="str">
        <f t="shared" si="121"/>
        <v>d</v>
      </c>
      <c r="EA6" s="9" t="str">
        <f t="shared" si="121"/>
        <v>v</v>
      </c>
      <c r="EB6" s="9" t="str">
        <f t="shared" si="121"/>
        <v>z</v>
      </c>
      <c r="EC6" s="9" t="str">
        <f t="shared" si="121"/>
        <v>z</v>
      </c>
      <c r="ED6" s="9" t="str">
        <f t="shared" si="121"/>
        <v>m</v>
      </c>
      <c r="EE6" s="9" t="str">
        <f t="shared" si="121"/>
        <v>d</v>
      </c>
      <c r="EF6" s="9" t="str">
        <f t="shared" si="121"/>
        <v>w</v>
      </c>
      <c r="EG6" s="9" t="str">
        <f t="shared" si="121"/>
        <v>d</v>
      </c>
      <c r="EH6" s="9" t="str">
        <f t="shared" si="121"/>
        <v>v</v>
      </c>
      <c r="EI6" s="9" t="str">
        <f t="shared" si="121"/>
        <v>z</v>
      </c>
      <c r="EJ6" s="9" t="str">
        <f t="shared" si="121"/>
        <v>z</v>
      </c>
      <c r="EK6" s="9" t="str">
        <f t="shared" ref="EK6:FL6" si="122">LEFT(TEXT(EK5,"ddd"),1)</f>
        <v>m</v>
      </c>
      <c r="EL6" s="9" t="str">
        <f t="shared" si="122"/>
        <v>d</v>
      </c>
      <c r="EM6" s="9" t="str">
        <f t="shared" si="122"/>
        <v>w</v>
      </c>
      <c r="EN6" s="9" t="str">
        <f t="shared" si="122"/>
        <v>d</v>
      </c>
      <c r="EO6" s="9" t="str">
        <f t="shared" si="122"/>
        <v>v</v>
      </c>
      <c r="EP6" s="9" t="str">
        <f t="shared" si="122"/>
        <v>z</v>
      </c>
      <c r="EQ6" s="9" t="str">
        <f t="shared" si="122"/>
        <v>z</v>
      </c>
      <c r="ER6" s="9" t="str">
        <f t="shared" si="122"/>
        <v>m</v>
      </c>
      <c r="ES6" s="9" t="str">
        <f t="shared" si="122"/>
        <v>d</v>
      </c>
      <c r="ET6" s="9" t="str">
        <f t="shared" si="122"/>
        <v>w</v>
      </c>
      <c r="EU6" s="9" t="str">
        <f t="shared" si="122"/>
        <v>d</v>
      </c>
      <c r="EV6" s="9" t="str">
        <f t="shared" si="122"/>
        <v>v</v>
      </c>
      <c r="EW6" s="9" t="str">
        <f t="shared" si="122"/>
        <v>z</v>
      </c>
      <c r="EX6" s="9" t="str">
        <f t="shared" si="122"/>
        <v>z</v>
      </c>
      <c r="EY6" s="9" t="str">
        <f t="shared" si="122"/>
        <v>m</v>
      </c>
      <c r="EZ6" s="9" t="str">
        <f t="shared" si="122"/>
        <v>d</v>
      </c>
      <c r="FA6" s="9" t="str">
        <f t="shared" si="122"/>
        <v>w</v>
      </c>
      <c r="FB6" s="9" t="str">
        <f t="shared" si="122"/>
        <v>d</v>
      </c>
      <c r="FC6" s="9" t="str">
        <f t="shared" si="122"/>
        <v>v</v>
      </c>
      <c r="FD6" s="9" t="str">
        <f t="shared" si="122"/>
        <v>z</v>
      </c>
      <c r="FE6" s="9" t="str">
        <f t="shared" si="122"/>
        <v>z</v>
      </c>
      <c r="FF6" s="9" t="str">
        <f t="shared" si="122"/>
        <v>m</v>
      </c>
      <c r="FG6" s="9" t="str">
        <f t="shared" si="122"/>
        <v>d</v>
      </c>
      <c r="FH6" s="9" t="str">
        <f t="shared" si="122"/>
        <v>w</v>
      </c>
      <c r="FI6" s="9" t="str">
        <f t="shared" si="122"/>
        <v>d</v>
      </c>
      <c r="FJ6" s="9" t="str">
        <f t="shared" si="122"/>
        <v>v</v>
      </c>
      <c r="FK6" s="9" t="str">
        <f t="shared" si="122"/>
        <v>z</v>
      </c>
      <c r="FL6" s="9" t="str">
        <f t="shared" si="122"/>
        <v>z</v>
      </c>
      <c r="FM6" s="9" t="str">
        <f t="shared" ref="FM6:FZ6" si="123">LEFT(TEXT(FM5,"ddd"),1)</f>
        <v>m</v>
      </c>
      <c r="FN6" s="9" t="str">
        <f t="shared" si="123"/>
        <v>d</v>
      </c>
      <c r="FO6" s="9" t="str">
        <f t="shared" si="123"/>
        <v>w</v>
      </c>
      <c r="FP6" s="9" t="str">
        <f t="shared" si="123"/>
        <v>d</v>
      </c>
      <c r="FQ6" s="9" t="str">
        <f t="shared" si="123"/>
        <v>v</v>
      </c>
      <c r="FR6" s="9" t="str">
        <f t="shared" si="123"/>
        <v>z</v>
      </c>
      <c r="FS6" s="9" t="str">
        <f t="shared" si="123"/>
        <v>z</v>
      </c>
      <c r="FT6" s="9" t="str">
        <f t="shared" si="123"/>
        <v>m</v>
      </c>
      <c r="FU6" s="9" t="str">
        <f t="shared" si="123"/>
        <v>d</v>
      </c>
      <c r="FV6" s="9" t="str">
        <f t="shared" si="123"/>
        <v>w</v>
      </c>
      <c r="FW6" s="9" t="str">
        <f t="shared" si="123"/>
        <v>d</v>
      </c>
      <c r="FX6" s="9" t="str">
        <f t="shared" si="123"/>
        <v>v</v>
      </c>
      <c r="FY6" s="9" t="str">
        <f t="shared" si="123"/>
        <v>z</v>
      </c>
      <c r="FZ6" s="9" t="str">
        <f t="shared" si="123"/>
        <v>z</v>
      </c>
      <c r="GC6" s="95">
        <v>1</v>
      </c>
    </row>
    <row r="7" spans="1:185" ht="30" hidden="1" customHeight="1" thickBot="1" x14ac:dyDescent="0.35">
      <c r="D7"/>
      <c r="G7" t="str">
        <f>IF(OR(ISBLANK(task_start),ISBLANK(task_end)),"",task_end-task_start+1)</f>
        <v/>
      </c>
      <c r="H7" s="27"/>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c r="DQ7" s="27"/>
      <c r="DR7" s="27"/>
      <c r="DS7" s="27"/>
      <c r="DT7" s="27"/>
      <c r="DU7" s="27"/>
      <c r="DV7" s="27"/>
      <c r="DW7" s="27"/>
      <c r="DX7" s="27"/>
      <c r="DY7" s="27"/>
      <c r="DZ7" s="27"/>
      <c r="EA7" s="27"/>
      <c r="EB7" s="27"/>
      <c r="EC7" s="27"/>
      <c r="ED7" s="27"/>
      <c r="EE7" s="27"/>
      <c r="EF7" s="27"/>
      <c r="EG7" s="27"/>
      <c r="EH7" s="27"/>
      <c r="EI7" s="27"/>
      <c r="EJ7" s="27"/>
      <c r="EK7" s="27"/>
      <c r="EL7" s="27"/>
      <c r="EM7" s="27"/>
      <c r="EN7" s="27"/>
      <c r="EO7" s="27"/>
      <c r="EP7" s="27"/>
      <c r="EQ7" s="27"/>
      <c r="ER7" s="27"/>
      <c r="ES7" s="27"/>
      <c r="ET7" s="27"/>
      <c r="EU7" s="27"/>
      <c r="EV7" s="27"/>
      <c r="EW7" s="27"/>
      <c r="EX7" s="27"/>
      <c r="EY7" s="27"/>
      <c r="EZ7" s="27"/>
      <c r="FA7" s="27"/>
      <c r="FB7" s="27"/>
      <c r="FC7" s="27"/>
      <c r="FD7" s="27"/>
      <c r="FE7" s="27"/>
      <c r="FF7" s="100"/>
      <c r="FG7" s="27"/>
      <c r="FH7" s="27"/>
      <c r="FI7" s="27"/>
      <c r="FJ7" s="27"/>
      <c r="FK7" s="27"/>
      <c r="FL7" s="27"/>
      <c r="FM7" s="27"/>
      <c r="FN7" s="27"/>
      <c r="FO7" s="27"/>
      <c r="FP7" s="27"/>
      <c r="FQ7" s="27"/>
      <c r="FR7" s="27"/>
      <c r="FS7" s="27"/>
      <c r="FT7" s="27"/>
      <c r="FU7" s="27"/>
      <c r="FV7" s="27"/>
      <c r="FW7" s="27"/>
      <c r="FX7" s="27"/>
      <c r="FY7" s="27"/>
      <c r="FZ7" s="27"/>
      <c r="GC7" s="95">
        <v>1</v>
      </c>
    </row>
    <row r="8" spans="1:185" ht="21.6" customHeight="1" thickBot="1" x14ac:dyDescent="0.35">
      <c r="B8" s="74" t="s">
        <v>27</v>
      </c>
      <c r="C8" s="75"/>
      <c r="D8" s="76"/>
      <c r="E8" s="77"/>
      <c r="F8" s="27"/>
      <c r="G8" s="27"/>
      <c r="H8" s="27"/>
      <c r="I8" s="27"/>
      <c r="J8" s="27"/>
      <c r="K8" s="2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c r="BU8" s="27"/>
      <c r="BV8" s="27"/>
      <c r="BW8" s="27"/>
      <c r="BX8" s="27"/>
      <c r="BY8" s="27"/>
      <c r="BZ8" s="27"/>
      <c r="CA8" s="27"/>
      <c r="CB8" s="27"/>
      <c r="CC8" s="27"/>
      <c r="CD8" s="27"/>
      <c r="CE8" s="27"/>
      <c r="CF8" s="27"/>
      <c r="CG8" s="27"/>
      <c r="CH8" s="27"/>
      <c r="CI8" s="27"/>
      <c r="CJ8" s="27"/>
      <c r="CK8" s="27"/>
      <c r="CL8" s="27"/>
      <c r="CM8" s="27"/>
      <c r="CN8" s="27"/>
      <c r="CO8" s="27"/>
      <c r="CP8" s="27"/>
      <c r="CQ8" s="27"/>
      <c r="CR8" s="27"/>
      <c r="CS8" s="27"/>
      <c r="CT8" s="27"/>
      <c r="CU8" s="27"/>
      <c r="CV8" s="27"/>
      <c r="CW8" s="27"/>
      <c r="CX8" s="27"/>
      <c r="CY8" s="27"/>
      <c r="CZ8" s="27"/>
      <c r="DA8" s="27"/>
      <c r="DB8" s="27"/>
      <c r="DC8" s="27"/>
      <c r="DD8" s="27"/>
      <c r="DE8" s="27"/>
      <c r="DF8" s="27"/>
      <c r="DG8" s="27"/>
      <c r="DH8" s="27"/>
      <c r="DI8" s="27"/>
      <c r="DJ8" s="27"/>
      <c r="DK8" s="27"/>
      <c r="DL8" s="27"/>
      <c r="DM8" s="27"/>
      <c r="DN8" s="27"/>
      <c r="DO8" s="27"/>
      <c r="DP8" s="27"/>
      <c r="DQ8" s="27"/>
      <c r="DR8" s="27"/>
      <c r="DS8" s="27"/>
      <c r="DT8" s="27"/>
      <c r="DU8" s="27"/>
      <c r="DV8" s="27"/>
      <c r="DW8" s="27"/>
      <c r="DX8" s="27"/>
      <c r="DY8" s="27"/>
      <c r="DZ8" s="27"/>
      <c r="EA8" s="27"/>
      <c r="EB8" s="27"/>
      <c r="EC8" s="27"/>
      <c r="ED8" s="27"/>
      <c r="EE8" s="27"/>
      <c r="EF8" s="27"/>
      <c r="EG8" s="27"/>
      <c r="EH8" s="27"/>
      <c r="EI8" s="27"/>
      <c r="EJ8" s="27"/>
      <c r="EK8" s="27"/>
      <c r="EL8" s="27"/>
      <c r="EM8" s="27"/>
      <c r="EN8" s="27"/>
      <c r="EO8" s="27"/>
      <c r="EP8" s="27"/>
      <c r="EQ8" s="27"/>
      <c r="ER8" s="27"/>
      <c r="ES8" s="27"/>
      <c r="ET8" s="27"/>
      <c r="EU8" s="27"/>
      <c r="EV8" s="27"/>
      <c r="EW8" s="27"/>
      <c r="EX8" s="27"/>
      <c r="EY8" s="27"/>
      <c r="EZ8" s="27"/>
      <c r="FA8" s="27"/>
      <c r="FB8" s="27"/>
      <c r="FC8" s="27"/>
      <c r="FD8" s="27"/>
      <c r="FE8" s="96"/>
      <c r="FF8" s="101"/>
      <c r="FG8" s="98"/>
      <c r="FH8" s="27"/>
      <c r="FI8" s="27"/>
      <c r="FJ8" s="27"/>
      <c r="FK8" s="27"/>
      <c r="FL8" s="27"/>
      <c r="FM8" s="27"/>
      <c r="FN8" s="27"/>
      <c r="FO8" s="27"/>
      <c r="FP8" s="27"/>
      <c r="FQ8" s="27"/>
      <c r="FR8" s="27"/>
      <c r="FS8" s="27"/>
      <c r="FT8" s="27"/>
      <c r="FU8" s="27"/>
      <c r="FV8" s="27"/>
      <c r="FW8" s="27"/>
      <c r="FX8" s="27"/>
      <c r="FY8" s="27"/>
      <c r="FZ8" s="27"/>
      <c r="GC8" s="95">
        <v>1</v>
      </c>
    </row>
    <row r="9" spans="1:185" ht="21.6" customHeight="1" thickBot="1" x14ac:dyDescent="0.35">
      <c r="B9" s="81" t="s">
        <v>28</v>
      </c>
      <c r="C9" s="79">
        <v>1</v>
      </c>
      <c r="D9" s="80">
        <f>DATE(2025, 11, 3)</f>
        <v>45964</v>
      </c>
      <c r="E9" s="80">
        <f>DATE(2025, 11, 11)</f>
        <v>45972</v>
      </c>
      <c r="F9" s="27"/>
      <c r="G9" s="27"/>
      <c r="H9" s="27"/>
      <c r="I9" s="27"/>
      <c r="J9" s="27"/>
      <c r="K9" s="2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c r="BM9" s="27"/>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c r="DC9" s="27"/>
      <c r="DD9" s="27"/>
      <c r="DE9" s="27"/>
      <c r="DF9" s="27"/>
      <c r="DG9" s="27"/>
      <c r="DH9" s="27"/>
      <c r="DI9" s="27"/>
      <c r="DJ9" s="27"/>
      <c r="DK9" s="27"/>
      <c r="DL9" s="27"/>
      <c r="DM9" s="27"/>
      <c r="DN9" s="27"/>
      <c r="DO9" s="27"/>
      <c r="DP9" s="27"/>
      <c r="DQ9" s="27"/>
      <c r="DR9" s="27"/>
      <c r="DS9" s="27"/>
      <c r="DT9" s="27"/>
      <c r="DU9" s="27"/>
      <c r="DV9" s="27"/>
      <c r="DW9" s="27"/>
      <c r="DX9" s="27"/>
      <c r="DY9" s="27"/>
      <c r="DZ9" s="27"/>
      <c r="EA9" s="27"/>
      <c r="EB9" s="27"/>
      <c r="EC9" s="27"/>
      <c r="ED9" s="27"/>
      <c r="EE9" s="27"/>
      <c r="EF9" s="27"/>
      <c r="EG9" s="27"/>
      <c r="EH9" s="27"/>
      <c r="EI9" s="27"/>
      <c r="EJ9" s="27"/>
      <c r="EK9" s="27"/>
      <c r="EL9" s="27"/>
      <c r="EM9" s="27"/>
      <c r="EN9" s="27"/>
      <c r="EO9" s="27"/>
      <c r="EP9" s="27"/>
      <c r="EQ9" s="27"/>
      <c r="ER9" s="27"/>
      <c r="ES9" s="27"/>
      <c r="ET9" s="27"/>
      <c r="EU9" s="27"/>
      <c r="EV9" s="27"/>
      <c r="EW9" s="27"/>
      <c r="EX9" s="27"/>
      <c r="EY9" s="27"/>
      <c r="EZ9" s="27"/>
      <c r="FA9" s="27"/>
      <c r="FB9" s="27"/>
      <c r="FC9" s="27"/>
      <c r="FD9" s="27"/>
      <c r="FE9" s="96"/>
      <c r="FF9" s="101"/>
      <c r="FG9" s="98"/>
      <c r="FH9" s="27"/>
      <c r="FI9" s="27"/>
      <c r="FJ9" s="27"/>
      <c r="FK9" s="27"/>
      <c r="FL9" s="27"/>
      <c r="FM9" s="27"/>
      <c r="FN9" s="27"/>
      <c r="FO9" s="27"/>
      <c r="FP9" s="27"/>
      <c r="FQ9" s="27"/>
      <c r="FR9" s="27"/>
      <c r="FS9" s="27"/>
      <c r="FT9" s="27"/>
      <c r="FU9" s="27"/>
      <c r="FV9" s="27"/>
      <c r="FW9" s="27"/>
      <c r="FX9" s="27"/>
      <c r="FY9" s="27"/>
      <c r="FZ9" s="27"/>
      <c r="GC9" s="95">
        <v>1</v>
      </c>
    </row>
    <row r="10" spans="1:185" ht="21.6" customHeight="1" thickBot="1" x14ac:dyDescent="0.35">
      <c r="B10" s="78" t="s">
        <v>29</v>
      </c>
      <c r="C10" s="79">
        <v>0</v>
      </c>
      <c r="D10" s="80">
        <f>DATE(2026,1,12)</f>
        <v>46034</v>
      </c>
      <c r="E10" s="80">
        <f>DATE(2026,1,27)</f>
        <v>46049</v>
      </c>
      <c r="F10" s="27"/>
      <c r="G10" s="27"/>
      <c r="H10" s="27"/>
      <c r="I10" s="27"/>
      <c r="J10" s="27"/>
      <c r="K10" s="2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c r="BM10" s="27"/>
      <c r="BN10" s="27"/>
      <c r="BO10" s="27"/>
      <c r="BP10" s="27"/>
      <c r="BQ10" s="27"/>
      <c r="BR10" s="27"/>
      <c r="BS10" s="27"/>
      <c r="BT10" s="27"/>
      <c r="BU10" s="27"/>
      <c r="BV10" s="27"/>
      <c r="BW10" s="27"/>
      <c r="BX10" s="27"/>
      <c r="BY10" s="27"/>
      <c r="BZ10" s="27"/>
      <c r="CA10" s="27"/>
      <c r="CB10" s="27"/>
      <c r="CC10" s="27"/>
      <c r="CD10" s="27"/>
      <c r="CE10" s="27"/>
      <c r="CF10" s="27"/>
      <c r="CG10" s="27"/>
      <c r="CH10" s="27"/>
      <c r="CI10" s="27"/>
      <c r="CJ10" s="27"/>
      <c r="CK10" s="27"/>
      <c r="CL10" s="27"/>
      <c r="CM10" s="27"/>
      <c r="CN10" s="27"/>
      <c r="CO10" s="27"/>
      <c r="CP10" s="27"/>
      <c r="CQ10" s="27"/>
      <c r="CR10" s="27"/>
      <c r="CS10" s="27"/>
      <c r="CT10" s="27"/>
      <c r="CU10" s="27"/>
      <c r="CV10" s="27"/>
      <c r="CW10" s="27"/>
      <c r="CX10" s="27"/>
      <c r="CY10" s="27"/>
      <c r="CZ10" s="27"/>
      <c r="DA10" s="27"/>
      <c r="DB10" s="27"/>
      <c r="DC10" s="27"/>
      <c r="DD10" s="27"/>
      <c r="DE10" s="27"/>
      <c r="DF10" s="27"/>
      <c r="DG10" s="27"/>
      <c r="DH10" s="27"/>
      <c r="DI10" s="27"/>
      <c r="DJ10" s="27"/>
      <c r="DK10" s="27"/>
      <c r="DL10" s="27"/>
      <c r="DM10" s="27"/>
      <c r="DN10" s="27"/>
      <c r="DO10" s="27"/>
      <c r="DP10" s="27"/>
      <c r="DQ10" s="27"/>
      <c r="DR10" s="27"/>
      <c r="DS10" s="27"/>
      <c r="DT10" s="27"/>
      <c r="DU10" s="27"/>
      <c r="DV10" s="27"/>
      <c r="DW10" s="27"/>
      <c r="DX10" s="27"/>
      <c r="DY10" s="27"/>
      <c r="DZ10" s="27"/>
      <c r="EA10" s="27"/>
      <c r="EB10" s="27"/>
      <c r="EC10" s="27"/>
      <c r="ED10" s="27"/>
      <c r="EE10" s="27"/>
      <c r="EF10" s="27"/>
      <c r="EG10" s="27"/>
      <c r="EH10" s="27"/>
      <c r="EI10" s="27"/>
      <c r="EJ10" s="27"/>
      <c r="EK10" s="27"/>
      <c r="EL10" s="27"/>
      <c r="EM10" s="27"/>
      <c r="EN10" s="27"/>
      <c r="EO10" s="27"/>
      <c r="EP10" s="27"/>
      <c r="EQ10" s="27"/>
      <c r="ER10" s="27"/>
      <c r="ES10" s="27"/>
      <c r="ET10" s="27"/>
      <c r="EU10" s="27"/>
      <c r="EV10" s="27"/>
      <c r="EW10" s="27"/>
      <c r="EX10" s="27"/>
      <c r="EY10" s="27"/>
      <c r="EZ10" s="27"/>
      <c r="FA10" s="27"/>
      <c r="FB10" s="27"/>
      <c r="FC10" s="27"/>
      <c r="FD10" s="27"/>
      <c r="FE10" s="96"/>
      <c r="FF10" s="101"/>
      <c r="FG10" s="98"/>
      <c r="FH10" s="27"/>
      <c r="FI10" s="27"/>
      <c r="FJ10" s="27"/>
      <c r="FK10" s="27"/>
      <c r="FL10" s="27"/>
      <c r="FM10" s="27"/>
      <c r="FN10" s="27"/>
      <c r="FO10" s="27"/>
      <c r="FP10" s="27"/>
      <c r="FQ10" s="27"/>
      <c r="FR10" s="27"/>
      <c r="FS10" s="27"/>
      <c r="FT10" s="27"/>
      <c r="FU10" s="27"/>
      <c r="FV10" s="27"/>
      <c r="FW10" s="27"/>
      <c r="FX10" s="27"/>
      <c r="FY10" s="27"/>
      <c r="FZ10" s="27"/>
      <c r="GC10" s="95">
        <v>1</v>
      </c>
    </row>
    <row r="11" spans="1:185" ht="21.6" customHeight="1" thickBot="1" x14ac:dyDescent="0.35">
      <c r="B11" s="78" t="s">
        <v>30</v>
      </c>
      <c r="C11" s="79">
        <v>1</v>
      </c>
      <c r="D11" s="80">
        <f>DATE(2025,11,3)</f>
        <v>45964</v>
      </c>
      <c r="E11" s="80">
        <f>DATE(2025, 11, 17)</f>
        <v>45978</v>
      </c>
      <c r="F11" s="27"/>
      <c r="G11" s="27"/>
      <c r="H11" s="27"/>
      <c r="I11" s="27"/>
      <c r="J11" s="27"/>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c r="BM11" s="27"/>
      <c r="BN11" s="27"/>
      <c r="BO11" s="27"/>
      <c r="BP11" s="27"/>
      <c r="BQ11" s="27"/>
      <c r="BR11" s="27"/>
      <c r="BS11" s="27"/>
      <c r="BT11" s="27"/>
      <c r="BU11" s="27"/>
      <c r="BV11" s="27"/>
      <c r="BW11" s="27"/>
      <c r="BX11" s="27"/>
      <c r="BY11" s="27"/>
      <c r="BZ11" s="27"/>
      <c r="CA11" s="27"/>
      <c r="CB11" s="27"/>
      <c r="CC11" s="27"/>
      <c r="CD11" s="27"/>
      <c r="CE11" s="27"/>
      <c r="CF11" s="27"/>
      <c r="CG11" s="27"/>
      <c r="CH11" s="27"/>
      <c r="CI11" s="27"/>
      <c r="CJ11" s="27"/>
      <c r="CK11" s="27"/>
      <c r="CL11" s="27"/>
      <c r="CM11" s="27"/>
      <c r="CN11" s="27"/>
      <c r="CO11" s="27"/>
      <c r="CP11" s="27"/>
      <c r="CQ11" s="27"/>
      <c r="CR11" s="27"/>
      <c r="CS11" s="27"/>
      <c r="CT11" s="27"/>
      <c r="CU11" s="27"/>
      <c r="CV11" s="27"/>
      <c r="CW11" s="27"/>
      <c r="CX11" s="27"/>
      <c r="CY11" s="27"/>
      <c r="CZ11" s="27"/>
      <c r="DA11" s="27"/>
      <c r="DB11" s="27"/>
      <c r="DC11" s="27"/>
      <c r="DD11" s="27"/>
      <c r="DE11" s="27"/>
      <c r="DF11" s="27"/>
      <c r="DG11" s="27"/>
      <c r="DH11" s="27"/>
      <c r="DI11" s="27"/>
      <c r="DJ11" s="27"/>
      <c r="DK11" s="27"/>
      <c r="DL11" s="27"/>
      <c r="DM11" s="27"/>
      <c r="DN11" s="27"/>
      <c r="DO11" s="27"/>
      <c r="DP11" s="27"/>
      <c r="DQ11" s="27"/>
      <c r="DR11" s="27"/>
      <c r="DS11" s="27"/>
      <c r="DT11" s="27"/>
      <c r="DU11" s="27"/>
      <c r="DV11" s="27"/>
      <c r="DW11" s="27"/>
      <c r="DX11" s="27"/>
      <c r="DY11" s="27"/>
      <c r="DZ11" s="27"/>
      <c r="EA11" s="27"/>
      <c r="EB11" s="27"/>
      <c r="EC11" s="27"/>
      <c r="ED11" s="27"/>
      <c r="EE11" s="27"/>
      <c r="EF11" s="27"/>
      <c r="EG11" s="27"/>
      <c r="EH11" s="27"/>
      <c r="EI11" s="27"/>
      <c r="EJ11" s="27"/>
      <c r="EK11" s="27"/>
      <c r="EL11" s="27"/>
      <c r="EM11" s="27"/>
      <c r="EN11" s="27"/>
      <c r="EO11" s="27"/>
      <c r="EP11" s="27"/>
      <c r="EQ11" s="27"/>
      <c r="ER11" s="27"/>
      <c r="ES11" s="27"/>
      <c r="ET11" s="27"/>
      <c r="EU11" s="27"/>
      <c r="EV11" s="27"/>
      <c r="EW11" s="27"/>
      <c r="EX11" s="27"/>
      <c r="EY11" s="27"/>
      <c r="EZ11" s="27"/>
      <c r="FA11" s="27"/>
      <c r="FB11" s="27"/>
      <c r="FC11" s="27"/>
      <c r="FD11" s="27"/>
      <c r="FE11" s="96"/>
      <c r="FF11" s="101"/>
      <c r="FG11" s="98"/>
      <c r="FH11" s="27"/>
      <c r="FI11" s="27"/>
      <c r="FJ11" s="27"/>
      <c r="FK11" s="27"/>
      <c r="FL11" s="27"/>
      <c r="FM11" s="27"/>
      <c r="FN11" s="27"/>
      <c r="FO11" s="27"/>
      <c r="FP11" s="27"/>
      <c r="FQ11" s="27"/>
      <c r="FR11" s="27"/>
      <c r="FS11" s="27"/>
      <c r="FT11" s="27"/>
      <c r="FU11" s="27"/>
      <c r="FV11" s="27"/>
      <c r="FW11" s="27"/>
      <c r="FX11" s="27"/>
      <c r="FY11" s="27"/>
      <c r="FZ11" s="27"/>
      <c r="GC11" s="95">
        <v>1</v>
      </c>
    </row>
    <row r="12" spans="1:185" ht="21.6" customHeight="1" thickBot="1" x14ac:dyDescent="0.35">
      <c r="B12" s="78" t="s">
        <v>31</v>
      </c>
      <c r="C12" s="79">
        <v>0</v>
      </c>
      <c r="D12" s="80">
        <f>DATE(2026,1,1)</f>
        <v>46023</v>
      </c>
      <c r="E12" s="80">
        <f>DATE(2026,2,2)</f>
        <v>46055</v>
      </c>
      <c r="F12" s="27"/>
      <c r="G12" s="27"/>
      <c r="H12" s="27"/>
      <c r="I12" s="27"/>
      <c r="J12" s="27"/>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c r="BM12" s="27"/>
      <c r="BN12" s="27"/>
      <c r="BO12" s="27"/>
      <c r="BP12" s="27"/>
      <c r="BQ12" s="27"/>
      <c r="BR12" s="27"/>
      <c r="BS12" s="27"/>
      <c r="BT12" s="27"/>
      <c r="BU12" s="27"/>
      <c r="BV12" s="27"/>
      <c r="BW12" s="27"/>
      <c r="BX12" s="27"/>
      <c r="BY12" s="27"/>
      <c r="BZ12" s="27"/>
      <c r="CA12" s="27"/>
      <c r="CB12" s="27"/>
      <c r="CC12" s="27"/>
      <c r="CD12" s="27"/>
      <c r="CE12" s="27"/>
      <c r="CF12" s="27"/>
      <c r="CG12" s="27"/>
      <c r="CH12" s="27"/>
      <c r="CI12" s="27"/>
      <c r="CJ12" s="27"/>
      <c r="CK12" s="27"/>
      <c r="CL12" s="27"/>
      <c r="CM12" s="27"/>
      <c r="CN12" s="27"/>
      <c r="CO12" s="27"/>
      <c r="CP12" s="27"/>
      <c r="CQ12" s="27"/>
      <c r="CR12" s="27"/>
      <c r="CS12" s="27"/>
      <c r="CT12" s="27"/>
      <c r="CU12" s="27"/>
      <c r="CV12" s="27"/>
      <c r="CW12" s="27"/>
      <c r="CX12" s="27"/>
      <c r="CY12" s="27"/>
      <c r="CZ12" s="27"/>
      <c r="DA12" s="27"/>
      <c r="DB12" s="27"/>
      <c r="DC12" s="27"/>
      <c r="DD12" s="27"/>
      <c r="DE12" s="27"/>
      <c r="DF12" s="27"/>
      <c r="DG12" s="27"/>
      <c r="DH12" s="27"/>
      <c r="DI12" s="27"/>
      <c r="DJ12" s="27"/>
      <c r="DK12" s="27"/>
      <c r="DL12" s="27"/>
      <c r="DM12" s="27"/>
      <c r="DN12" s="27"/>
      <c r="DO12" s="27"/>
      <c r="DP12" s="27"/>
      <c r="DQ12" s="27"/>
      <c r="DR12" s="27"/>
      <c r="DS12" s="27"/>
      <c r="DT12" s="27"/>
      <c r="DU12" s="27"/>
      <c r="DV12" s="27"/>
      <c r="DW12" s="27"/>
      <c r="DX12" s="27"/>
      <c r="DY12" s="27"/>
      <c r="DZ12" s="27"/>
      <c r="EA12" s="27"/>
      <c r="EB12" s="27"/>
      <c r="EC12" s="27"/>
      <c r="ED12" s="27"/>
      <c r="EE12" s="27"/>
      <c r="EF12" s="27"/>
      <c r="EG12" s="27"/>
      <c r="EH12" s="27"/>
      <c r="EI12" s="27"/>
      <c r="EJ12" s="27"/>
      <c r="EK12" s="27"/>
      <c r="EL12" s="27"/>
      <c r="EM12" s="27"/>
      <c r="EN12" s="27"/>
      <c r="EO12" s="27"/>
      <c r="EP12" s="27"/>
      <c r="EQ12" s="27"/>
      <c r="ER12" s="27"/>
      <c r="ES12" s="27"/>
      <c r="ET12" s="27"/>
      <c r="EU12" s="27"/>
      <c r="EV12" s="27"/>
      <c r="EW12" s="27"/>
      <c r="EX12" s="27"/>
      <c r="EY12" s="27"/>
      <c r="EZ12" s="27"/>
      <c r="FA12" s="27"/>
      <c r="FB12" s="27"/>
      <c r="FC12" s="27"/>
      <c r="FD12" s="27"/>
      <c r="FE12" s="96"/>
      <c r="FF12" s="101"/>
      <c r="FG12" s="98"/>
      <c r="FH12" s="27"/>
      <c r="FI12" s="27"/>
      <c r="FJ12" s="27"/>
      <c r="FK12" s="27"/>
      <c r="FL12" s="27"/>
      <c r="FM12" s="27"/>
      <c r="FN12" s="27"/>
      <c r="FO12" s="27"/>
      <c r="FP12" s="27"/>
      <c r="FQ12" s="27"/>
      <c r="FR12" s="27"/>
      <c r="FS12" s="27"/>
      <c r="FT12" s="27"/>
      <c r="FU12" s="27"/>
      <c r="FV12" s="27"/>
      <c r="FW12" s="27"/>
      <c r="FX12" s="27"/>
      <c r="FY12" s="27"/>
      <c r="FZ12" s="27"/>
      <c r="GC12" s="95">
        <v>1</v>
      </c>
    </row>
    <row r="13" spans="1:185" ht="21.6" customHeight="1" thickBot="1" x14ac:dyDescent="0.35">
      <c r="B13" s="78" t="s">
        <v>32</v>
      </c>
      <c r="C13" s="79">
        <v>0</v>
      </c>
      <c r="D13" s="80">
        <f>DATE(2026, 1, 1)</f>
        <v>46023</v>
      </c>
      <c r="E13" s="80">
        <f>DATE(2026, 1, 25)</f>
        <v>46047</v>
      </c>
      <c r="F13" s="27"/>
      <c r="G13" s="27"/>
      <c r="H13" s="27"/>
      <c r="I13" s="27"/>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c r="BM13" s="27"/>
      <c r="BN13" s="27"/>
      <c r="BO13" s="27"/>
      <c r="BP13" s="27"/>
      <c r="BQ13" s="27"/>
      <c r="BR13" s="27"/>
      <c r="BS13" s="27"/>
      <c r="BT13" s="27"/>
      <c r="BU13" s="27"/>
      <c r="BV13" s="27"/>
      <c r="BW13" s="27"/>
      <c r="BX13" s="27"/>
      <c r="BY13" s="27"/>
      <c r="BZ13" s="27"/>
      <c r="CA13" s="27"/>
      <c r="CB13" s="27"/>
      <c r="CC13" s="27"/>
      <c r="CD13" s="27"/>
      <c r="CE13" s="27"/>
      <c r="CF13" s="27"/>
      <c r="CG13" s="27"/>
      <c r="CH13" s="27"/>
      <c r="CI13" s="27"/>
      <c r="CJ13" s="27"/>
      <c r="CK13" s="27"/>
      <c r="CL13" s="27"/>
      <c r="CM13" s="27"/>
      <c r="CN13" s="27"/>
      <c r="CO13" s="27"/>
      <c r="CP13" s="27"/>
      <c r="CQ13" s="27"/>
      <c r="CR13" s="27"/>
      <c r="CS13" s="27"/>
      <c r="CT13" s="27"/>
      <c r="CU13" s="27"/>
      <c r="CV13" s="27"/>
      <c r="CW13" s="27"/>
      <c r="CX13" s="27"/>
      <c r="CY13" s="27"/>
      <c r="CZ13" s="27"/>
      <c r="DA13" s="27"/>
      <c r="DB13" s="27"/>
      <c r="DC13" s="27"/>
      <c r="DD13" s="27"/>
      <c r="DE13" s="27"/>
      <c r="DF13" s="27"/>
      <c r="DG13" s="27"/>
      <c r="DH13" s="27"/>
      <c r="DI13" s="27"/>
      <c r="DJ13" s="27"/>
      <c r="DK13" s="27"/>
      <c r="DL13" s="27"/>
      <c r="DM13" s="27"/>
      <c r="DN13" s="27"/>
      <c r="DO13" s="27"/>
      <c r="DP13" s="27"/>
      <c r="DQ13" s="27"/>
      <c r="DR13" s="27"/>
      <c r="DS13" s="27"/>
      <c r="DT13" s="27"/>
      <c r="DU13" s="27"/>
      <c r="DV13" s="27"/>
      <c r="DW13" s="27"/>
      <c r="DX13" s="27"/>
      <c r="DY13" s="27"/>
      <c r="DZ13" s="27"/>
      <c r="EA13" s="27"/>
      <c r="EB13" s="27"/>
      <c r="EC13" s="27"/>
      <c r="ED13" s="27"/>
      <c r="EE13" s="27"/>
      <c r="EF13" s="27"/>
      <c r="EG13" s="27"/>
      <c r="EH13" s="27"/>
      <c r="EI13" s="27"/>
      <c r="EJ13" s="27"/>
      <c r="EK13" s="27"/>
      <c r="EL13" s="27"/>
      <c r="EM13" s="27"/>
      <c r="EN13" s="27"/>
      <c r="EO13" s="27"/>
      <c r="EP13" s="27"/>
      <c r="EQ13" s="27"/>
      <c r="ER13" s="27"/>
      <c r="ES13" s="27"/>
      <c r="ET13" s="27"/>
      <c r="EU13" s="27"/>
      <c r="EV13" s="27"/>
      <c r="EW13" s="27"/>
      <c r="EX13" s="27"/>
      <c r="EY13" s="27"/>
      <c r="EZ13" s="27"/>
      <c r="FA13" s="27"/>
      <c r="FB13" s="27"/>
      <c r="FC13" s="27"/>
      <c r="FD13" s="27"/>
      <c r="FE13" s="96"/>
      <c r="FF13" s="101"/>
      <c r="FG13" s="98"/>
      <c r="FH13" s="27"/>
      <c r="FI13" s="27"/>
      <c r="FJ13" s="27"/>
      <c r="FK13" s="27"/>
      <c r="FL13" s="27"/>
      <c r="FM13" s="27"/>
      <c r="FN13" s="27"/>
      <c r="FO13" s="27"/>
      <c r="FP13" s="27"/>
      <c r="FQ13" s="27"/>
      <c r="FR13" s="27"/>
      <c r="FS13" s="27"/>
      <c r="FT13" s="27"/>
      <c r="FU13" s="27"/>
      <c r="FV13" s="27"/>
      <c r="FW13" s="27"/>
      <c r="FX13" s="27"/>
      <c r="FY13" s="27"/>
      <c r="FZ13" s="27"/>
      <c r="GC13" s="95">
        <v>1</v>
      </c>
    </row>
    <row r="14" spans="1:185" s="2" customFormat="1" ht="21.6" customHeight="1" thickBot="1" x14ac:dyDescent="0.35">
      <c r="A14" s="40"/>
      <c r="B14" s="12" t="s">
        <v>24</v>
      </c>
      <c r="C14" s="13"/>
      <c r="D14" s="55"/>
      <c r="E14" s="56"/>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c r="CY14" s="27"/>
      <c r="CZ14" s="27"/>
      <c r="DA14" s="27"/>
      <c r="DB14" s="27"/>
      <c r="DC14" s="27"/>
      <c r="DD14" s="27"/>
      <c r="DE14" s="27"/>
      <c r="DF14" s="27"/>
      <c r="DG14" s="27"/>
      <c r="DH14" s="27"/>
      <c r="DI14" s="27"/>
      <c r="DJ14" s="27"/>
      <c r="DK14" s="27"/>
      <c r="DL14" s="27"/>
      <c r="DM14" s="27"/>
      <c r="DN14" s="27"/>
      <c r="DO14" s="27"/>
      <c r="DP14" s="27"/>
      <c r="DQ14" s="27"/>
      <c r="DR14" s="27"/>
      <c r="DS14" s="27"/>
      <c r="DT14" s="27"/>
      <c r="DU14" s="27"/>
      <c r="DV14" s="27"/>
      <c r="DW14" s="27"/>
      <c r="DX14" s="27"/>
      <c r="DY14" s="27"/>
      <c r="DZ14" s="27"/>
      <c r="EA14" s="27"/>
      <c r="EB14" s="27"/>
      <c r="EC14" s="27"/>
      <c r="ED14" s="27"/>
      <c r="EE14" s="27"/>
      <c r="EF14" s="27"/>
      <c r="EG14" s="27"/>
      <c r="EH14" s="27"/>
      <c r="EI14" s="27"/>
      <c r="EJ14" s="27"/>
      <c r="EK14" s="27"/>
      <c r="EL14" s="27"/>
      <c r="EM14" s="27"/>
      <c r="EN14" s="27"/>
      <c r="EO14" s="27"/>
      <c r="EP14" s="27"/>
      <c r="EQ14" s="27"/>
      <c r="ER14" s="27"/>
      <c r="ES14" s="27"/>
      <c r="ET14" s="27"/>
      <c r="EU14" s="27"/>
      <c r="EV14" s="27"/>
      <c r="EW14" s="27"/>
      <c r="EX14" s="27"/>
      <c r="EY14" s="27"/>
      <c r="EZ14" s="27"/>
      <c r="FA14" s="27"/>
      <c r="FB14" s="27"/>
      <c r="FC14" s="27"/>
      <c r="FD14" s="27"/>
      <c r="FE14" s="96"/>
      <c r="FF14" s="101"/>
      <c r="FG14" s="98"/>
      <c r="FH14" s="27"/>
      <c r="FI14" s="27"/>
      <c r="FJ14" s="27"/>
      <c r="FK14" s="27"/>
      <c r="FL14" s="27"/>
      <c r="FM14" s="27"/>
      <c r="FN14" s="27"/>
      <c r="FO14" s="27"/>
      <c r="FP14" s="27"/>
      <c r="FQ14" s="27"/>
      <c r="FR14" s="27"/>
      <c r="FS14" s="27"/>
      <c r="FT14" s="27"/>
      <c r="FU14" s="27"/>
      <c r="FV14" s="27"/>
      <c r="FW14" s="27"/>
      <c r="FX14" s="27"/>
      <c r="FY14" s="27"/>
      <c r="FZ14" s="27"/>
      <c r="GC14" s="95">
        <v>1</v>
      </c>
    </row>
    <row r="15" spans="1:185" s="2" customFormat="1" ht="21.6" customHeight="1" thickBot="1" x14ac:dyDescent="0.35">
      <c r="A15" s="40"/>
      <c r="B15" s="46" t="s">
        <v>50</v>
      </c>
      <c r="C15" s="14">
        <v>1</v>
      </c>
      <c r="D15" s="57">
        <f>Begin_project+1</f>
        <v>45902</v>
      </c>
      <c r="E15" s="57">
        <f>D15+20</f>
        <v>45922</v>
      </c>
      <c r="F15" s="27"/>
      <c r="G15" s="27"/>
      <c r="H15" s="27"/>
      <c r="I15" s="27"/>
      <c r="J15" s="27"/>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c r="BM15" s="27"/>
      <c r="BN15" s="27"/>
      <c r="BO15" s="27"/>
      <c r="BP15" s="27"/>
      <c r="BQ15" s="27"/>
      <c r="BR15" s="27"/>
      <c r="BS15" s="27"/>
      <c r="BT15" s="27"/>
      <c r="BU15" s="27"/>
      <c r="BV15" s="27"/>
      <c r="BW15" s="27"/>
      <c r="BX15" s="27"/>
      <c r="BY15" s="27"/>
      <c r="BZ15" s="27"/>
      <c r="CA15" s="27"/>
      <c r="CB15" s="27"/>
      <c r="CC15" s="27"/>
      <c r="CD15" s="27"/>
      <c r="CE15" s="27"/>
      <c r="CF15" s="27"/>
      <c r="CG15" s="27"/>
      <c r="CH15" s="27"/>
      <c r="CI15" s="27"/>
      <c r="CJ15" s="27"/>
      <c r="CK15" s="27"/>
      <c r="CL15" s="27"/>
      <c r="CM15" s="27"/>
      <c r="CN15" s="27"/>
      <c r="CO15" s="27"/>
      <c r="CP15" s="27"/>
      <c r="CQ15" s="27"/>
      <c r="CR15" s="27"/>
      <c r="CS15" s="27"/>
      <c r="CT15" s="27"/>
      <c r="CU15" s="27"/>
      <c r="CV15" s="27"/>
      <c r="CW15" s="27"/>
      <c r="CX15" s="27"/>
      <c r="CY15" s="27"/>
      <c r="CZ15" s="27"/>
      <c r="DA15" s="27"/>
      <c r="DB15" s="27"/>
      <c r="DC15" s="27"/>
      <c r="DD15" s="27"/>
      <c r="DE15" s="27"/>
      <c r="DF15" s="27"/>
      <c r="DG15" s="27"/>
      <c r="DH15" s="27"/>
      <c r="DI15" s="27"/>
      <c r="DJ15" s="27"/>
      <c r="DK15" s="27"/>
      <c r="DL15" s="27"/>
      <c r="DM15" s="27"/>
      <c r="DN15" s="27"/>
      <c r="DO15" s="27"/>
      <c r="DP15" s="27"/>
      <c r="DQ15" s="27"/>
      <c r="DR15" s="27"/>
      <c r="DS15" s="27"/>
      <c r="DT15" s="27"/>
      <c r="DU15" s="27"/>
      <c r="DV15" s="27"/>
      <c r="DW15" s="27"/>
      <c r="DX15" s="27"/>
      <c r="DY15" s="27"/>
      <c r="DZ15" s="27"/>
      <c r="EA15" s="27"/>
      <c r="EB15" s="27"/>
      <c r="EC15" s="27"/>
      <c r="ED15" s="27"/>
      <c r="EE15" s="27"/>
      <c r="EF15" s="27"/>
      <c r="EG15" s="27"/>
      <c r="EH15" s="27"/>
      <c r="EI15" s="27"/>
      <c r="EJ15" s="27"/>
      <c r="EK15" s="27"/>
      <c r="EL15" s="27"/>
      <c r="EM15" s="27"/>
      <c r="EN15" s="27"/>
      <c r="EO15" s="27"/>
      <c r="EP15" s="27"/>
      <c r="EQ15" s="27"/>
      <c r="ER15" s="27"/>
      <c r="ES15" s="27"/>
      <c r="ET15" s="27"/>
      <c r="EU15" s="27"/>
      <c r="EV15" s="27"/>
      <c r="EW15" s="27"/>
      <c r="EX15" s="27"/>
      <c r="EY15" s="27"/>
      <c r="EZ15" s="27"/>
      <c r="FA15" s="27"/>
      <c r="FB15" s="27"/>
      <c r="FC15" s="27"/>
      <c r="FD15" s="27"/>
      <c r="FE15" s="96"/>
      <c r="FF15" s="101"/>
      <c r="FG15" s="98"/>
      <c r="FH15" s="27"/>
      <c r="FI15" s="27"/>
      <c r="FJ15" s="27"/>
      <c r="FK15" s="27"/>
      <c r="FL15" s="27"/>
      <c r="FM15" s="27"/>
      <c r="FN15" s="27"/>
      <c r="FO15" s="27"/>
      <c r="FP15" s="27"/>
      <c r="FQ15" s="27"/>
      <c r="FR15" s="27"/>
      <c r="FS15" s="27"/>
      <c r="FT15" s="27"/>
      <c r="FU15" s="27"/>
      <c r="FV15" s="27"/>
      <c r="FW15" s="27"/>
      <c r="FX15" s="27"/>
      <c r="FY15" s="27"/>
      <c r="FZ15" s="27"/>
      <c r="GC15" s="95">
        <v>1</v>
      </c>
    </row>
    <row r="16" spans="1:185" s="2" customFormat="1" ht="21.6" customHeight="1" thickBot="1" x14ac:dyDescent="0.35">
      <c r="A16" s="40"/>
      <c r="B16" s="46" t="s">
        <v>74</v>
      </c>
      <c r="C16" s="14">
        <v>0.9</v>
      </c>
      <c r="D16" s="57">
        <v>45902</v>
      </c>
      <c r="E16" s="57">
        <v>45908</v>
      </c>
      <c r="F16" s="27"/>
      <c r="G16" s="27"/>
      <c r="H16" s="27"/>
      <c r="I16" s="27"/>
      <c r="J16" s="27"/>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c r="DD16" s="27"/>
      <c r="DE16" s="27"/>
      <c r="DF16" s="27"/>
      <c r="DG16" s="27"/>
      <c r="DH16" s="27"/>
      <c r="DI16" s="27"/>
      <c r="DJ16" s="27"/>
      <c r="DK16" s="27"/>
      <c r="DL16" s="27"/>
      <c r="DM16" s="27"/>
      <c r="DN16" s="27"/>
      <c r="DO16" s="27"/>
      <c r="DP16" s="27"/>
      <c r="DQ16" s="27"/>
      <c r="DR16" s="27"/>
      <c r="DS16" s="27"/>
      <c r="DT16" s="27"/>
      <c r="DU16" s="27"/>
      <c r="DV16" s="27"/>
      <c r="DW16" s="27"/>
      <c r="DX16" s="27"/>
      <c r="DY16" s="27"/>
      <c r="DZ16" s="27"/>
      <c r="EA16" s="27"/>
      <c r="EB16" s="27"/>
      <c r="EC16" s="27"/>
      <c r="ED16" s="27"/>
      <c r="EE16" s="27"/>
      <c r="EF16" s="27"/>
      <c r="EG16" s="27"/>
      <c r="EH16" s="27"/>
      <c r="EI16" s="27"/>
      <c r="EJ16" s="27"/>
      <c r="EK16" s="27"/>
      <c r="EL16" s="27"/>
      <c r="EM16" s="27"/>
      <c r="EN16" s="27"/>
      <c r="EO16" s="27"/>
      <c r="EP16" s="27"/>
      <c r="EQ16" s="27"/>
      <c r="ER16" s="27"/>
      <c r="ES16" s="27"/>
      <c r="ET16" s="27"/>
      <c r="EU16" s="27"/>
      <c r="EV16" s="27"/>
      <c r="EW16" s="27"/>
      <c r="EX16" s="27"/>
      <c r="EY16" s="27"/>
      <c r="EZ16" s="27"/>
      <c r="FA16" s="27"/>
      <c r="FB16" s="27"/>
      <c r="FC16" s="27"/>
      <c r="FD16" s="27"/>
      <c r="FE16" s="96"/>
      <c r="FF16" s="101"/>
      <c r="FG16" s="98"/>
      <c r="FH16" s="27"/>
      <c r="FI16" s="27"/>
      <c r="FJ16" s="27"/>
      <c r="FK16" s="27"/>
      <c r="FL16" s="27"/>
      <c r="FM16" s="27"/>
      <c r="FN16" s="27"/>
      <c r="FO16" s="27"/>
      <c r="FP16" s="27"/>
      <c r="FQ16" s="27"/>
      <c r="FR16" s="27"/>
      <c r="FS16" s="27"/>
      <c r="FT16" s="27"/>
      <c r="FU16" s="27"/>
      <c r="FV16" s="27"/>
      <c r="FW16" s="27"/>
      <c r="FX16" s="27"/>
      <c r="FY16" s="27"/>
      <c r="FZ16" s="27"/>
      <c r="GC16" s="95"/>
    </row>
    <row r="17" spans="1:185" s="2" customFormat="1" ht="21.6" customHeight="1" thickBot="1" x14ac:dyDescent="0.35">
      <c r="A17" s="40"/>
      <c r="B17" s="46" t="s">
        <v>51</v>
      </c>
      <c r="C17" s="14">
        <v>1</v>
      </c>
      <c r="D17" s="57">
        <f>D15+13</f>
        <v>45915</v>
      </c>
      <c r="E17" s="57">
        <f>D17+4</f>
        <v>45919</v>
      </c>
      <c r="F17" s="27"/>
      <c r="G17" s="27"/>
      <c r="H17" s="27"/>
      <c r="I17" s="27"/>
      <c r="J17" s="27"/>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c r="CY17" s="27"/>
      <c r="CZ17" s="27"/>
      <c r="DA17" s="27"/>
      <c r="DB17" s="27"/>
      <c r="DC17" s="27"/>
      <c r="DD17" s="27"/>
      <c r="DE17" s="27"/>
      <c r="DF17" s="27"/>
      <c r="DG17" s="27"/>
      <c r="DH17" s="27"/>
      <c r="DI17" s="27"/>
      <c r="DJ17" s="27"/>
      <c r="DK17" s="27"/>
      <c r="DL17" s="27"/>
      <c r="DM17" s="27"/>
      <c r="DN17" s="27"/>
      <c r="DO17" s="27"/>
      <c r="DP17" s="27"/>
      <c r="DQ17" s="27"/>
      <c r="DR17" s="27"/>
      <c r="DS17" s="27"/>
      <c r="DT17" s="27"/>
      <c r="DU17" s="27"/>
      <c r="DV17" s="27"/>
      <c r="DW17" s="27"/>
      <c r="DX17" s="27"/>
      <c r="DY17" s="27"/>
      <c r="DZ17" s="27"/>
      <c r="EA17" s="27"/>
      <c r="EB17" s="27"/>
      <c r="EC17" s="27"/>
      <c r="ED17" s="27"/>
      <c r="EE17" s="27"/>
      <c r="EF17" s="27"/>
      <c r="EG17" s="27"/>
      <c r="EH17" s="27"/>
      <c r="EI17" s="27"/>
      <c r="EJ17" s="27"/>
      <c r="EK17" s="27"/>
      <c r="EL17" s="27"/>
      <c r="EM17" s="27"/>
      <c r="EN17" s="27"/>
      <c r="EO17" s="27"/>
      <c r="EP17" s="27"/>
      <c r="EQ17" s="27"/>
      <c r="ER17" s="27"/>
      <c r="ES17" s="27"/>
      <c r="ET17" s="27"/>
      <c r="EU17" s="27"/>
      <c r="EV17" s="27"/>
      <c r="EW17" s="27"/>
      <c r="EX17" s="27"/>
      <c r="EY17" s="27"/>
      <c r="EZ17" s="27"/>
      <c r="FA17" s="27"/>
      <c r="FB17" s="27"/>
      <c r="FC17" s="27"/>
      <c r="FD17" s="27"/>
      <c r="FE17" s="96"/>
      <c r="FF17" s="101"/>
      <c r="FG17" s="98"/>
      <c r="FH17" s="27"/>
      <c r="FI17" s="27"/>
      <c r="FJ17" s="27"/>
      <c r="FK17" s="27"/>
      <c r="FL17" s="27"/>
      <c r="FM17" s="27"/>
      <c r="FN17" s="27"/>
      <c r="FO17" s="27"/>
      <c r="FP17" s="27"/>
      <c r="FQ17" s="27"/>
      <c r="FR17" s="27"/>
      <c r="FS17" s="27"/>
      <c r="FT17" s="27"/>
      <c r="FU17" s="27"/>
      <c r="FV17" s="27"/>
      <c r="FW17" s="27"/>
      <c r="FX17" s="27"/>
      <c r="FY17" s="27"/>
      <c r="FZ17" s="27"/>
      <c r="GC17" s="95">
        <v>1</v>
      </c>
    </row>
    <row r="18" spans="1:185" s="2" customFormat="1" ht="21.6" customHeight="1" thickBot="1" x14ac:dyDescent="0.35">
      <c r="A18" s="40"/>
      <c r="B18" s="46" t="s">
        <v>52</v>
      </c>
      <c r="C18" s="14">
        <v>1</v>
      </c>
      <c r="D18" s="57">
        <f>DATE(2025, 10, 13 )</f>
        <v>45943</v>
      </c>
      <c r="E18" s="57">
        <f>D18+30</f>
        <v>45973</v>
      </c>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c r="BN18" s="27"/>
      <c r="BO18" s="27"/>
      <c r="BP18" s="27"/>
      <c r="BQ18" s="27"/>
      <c r="BR18" s="27"/>
      <c r="BS18" s="27"/>
      <c r="BT18" s="27"/>
      <c r="BU18" s="27"/>
      <c r="BV18" s="27"/>
      <c r="BW18" s="27"/>
      <c r="BX18" s="27"/>
      <c r="BY18" s="27"/>
      <c r="BZ18" s="27"/>
      <c r="CA18" s="27"/>
      <c r="CB18" s="27"/>
      <c r="CC18" s="27"/>
      <c r="CD18" s="27"/>
      <c r="CE18" s="27"/>
      <c r="CF18" s="27"/>
      <c r="CG18" s="27"/>
      <c r="CH18" s="27"/>
      <c r="CI18" s="27"/>
      <c r="CJ18" s="27"/>
      <c r="CK18" s="27"/>
      <c r="CL18" s="27"/>
      <c r="CM18" s="27"/>
      <c r="CN18" s="27"/>
      <c r="CO18" s="27"/>
      <c r="CP18" s="27"/>
      <c r="CQ18" s="27"/>
      <c r="CR18" s="27"/>
      <c r="CS18" s="27"/>
      <c r="CT18" s="27"/>
      <c r="CU18" s="27"/>
      <c r="CV18" s="27"/>
      <c r="CW18" s="27"/>
      <c r="CX18" s="27"/>
      <c r="CY18" s="27"/>
      <c r="CZ18" s="27"/>
      <c r="DA18" s="27"/>
      <c r="DB18" s="27"/>
      <c r="DC18" s="27"/>
      <c r="DD18" s="27"/>
      <c r="DE18" s="27"/>
      <c r="DF18" s="27"/>
      <c r="DG18" s="27"/>
      <c r="DH18" s="27"/>
      <c r="DI18" s="27"/>
      <c r="DJ18" s="27"/>
      <c r="DK18" s="27"/>
      <c r="DL18" s="27"/>
      <c r="DM18" s="27"/>
      <c r="DN18" s="27"/>
      <c r="DO18" s="27"/>
      <c r="DP18" s="27"/>
      <c r="DQ18" s="27"/>
      <c r="DR18" s="27"/>
      <c r="DS18" s="27"/>
      <c r="DT18" s="27"/>
      <c r="DU18" s="27"/>
      <c r="DV18" s="27"/>
      <c r="DW18" s="27"/>
      <c r="DX18" s="27"/>
      <c r="DY18" s="27"/>
      <c r="DZ18" s="27"/>
      <c r="EA18" s="27"/>
      <c r="EB18" s="27"/>
      <c r="EC18" s="27"/>
      <c r="ED18" s="27"/>
      <c r="EE18" s="27"/>
      <c r="EF18" s="27"/>
      <c r="EG18" s="27"/>
      <c r="EH18" s="27"/>
      <c r="EI18" s="27"/>
      <c r="EJ18" s="27"/>
      <c r="EK18" s="27"/>
      <c r="EL18" s="27"/>
      <c r="EM18" s="27"/>
      <c r="EN18" s="27"/>
      <c r="EO18" s="27"/>
      <c r="EP18" s="27"/>
      <c r="EQ18" s="27"/>
      <c r="ER18" s="27"/>
      <c r="ES18" s="27"/>
      <c r="ET18" s="27"/>
      <c r="EU18" s="27"/>
      <c r="EV18" s="27"/>
      <c r="EW18" s="27"/>
      <c r="EX18" s="27"/>
      <c r="EY18" s="27"/>
      <c r="EZ18" s="27"/>
      <c r="FA18" s="27"/>
      <c r="FB18" s="27"/>
      <c r="FC18" s="27"/>
      <c r="FD18" s="27"/>
      <c r="FE18" s="96"/>
      <c r="FF18" s="101"/>
      <c r="FG18" s="98"/>
      <c r="FH18" s="27"/>
      <c r="FI18" s="27"/>
      <c r="FJ18" s="27"/>
      <c r="FK18" s="27"/>
      <c r="FL18" s="27"/>
      <c r="FM18" s="27"/>
      <c r="FN18" s="27"/>
      <c r="FO18" s="27"/>
      <c r="FP18" s="27"/>
      <c r="FQ18" s="27"/>
      <c r="FR18" s="27"/>
      <c r="FS18" s="27"/>
      <c r="FT18" s="27"/>
      <c r="FU18" s="27"/>
      <c r="FV18" s="27"/>
      <c r="FW18" s="27"/>
      <c r="FX18" s="27"/>
      <c r="FY18" s="27"/>
      <c r="FZ18" s="27"/>
      <c r="GC18" s="95">
        <v>1</v>
      </c>
    </row>
    <row r="19" spans="1:185" s="2" customFormat="1" ht="21.6" customHeight="1" thickBot="1" x14ac:dyDescent="0.35">
      <c r="A19" s="40"/>
      <c r="B19" s="46" t="s">
        <v>71</v>
      </c>
      <c r="C19" s="14">
        <v>0</v>
      </c>
      <c r="D19" s="57"/>
      <c r="E19" s="57"/>
      <c r="F19" s="27"/>
      <c r="G19" s="27"/>
      <c r="H19" s="27"/>
      <c r="I19" s="27"/>
      <c r="J19" s="27"/>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c r="DD19" s="27"/>
      <c r="DE19" s="27"/>
      <c r="DF19" s="27"/>
      <c r="DG19" s="27"/>
      <c r="DH19" s="27"/>
      <c r="DI19" s="27"/>
      <c r="DJ19" s="27"/>
      <c r="DK19" s="27"/>
      <c r="DL19" s="27"/>
      <c r="DM19" s="27"/>
      <c r="DN19" s="27"/>
      <c r="DO19" s="27"/>
      <c r="DP19" s="27"/>
      <c r="DQ19" s="27"/>
      <c r="DR19" s="27"/>
      <c r="DS19" s="27"/>
      <c r="DT19" s="27"/>
      <c r="DU19" s="27"/>
      <c r="DV19" s="27"/>
      <c r="DW19" s="27"/>
      <c r="DX19" s="27"/>
      <c r="DY19" s="27"/>
      <c r="DZ19" s="27"/>
      <c r="EA19" s="27"/>
      <c r="EB19" s="27"/>
      <c r="EC19" s="27"/>
      <c r="ED19" s="27"/>
      <c r="EE19" s="27"/>
      <c r="EF19" s="27"/>
      <c r="EG19" s="27"/>
      <c r="EH19" s="27"/>
      <c r="EI19" s="27"/>
      <c r="EJ19" s="27"/>
      <c r="EK19" s="27"/>
      <c r="EL19" s="27"/>
      <c r="EM19" s="27"/>
      <c r="EN19" s="27"/>
      <c r="EO19" s="27"/>
      <c r="EP19" s="27"/>
      <c r="EQ19" s="27"/>
      <c r="ER19" s="27"/>
      <c r="ES19" s="27"/>
      <c r="ET19" s="27"/>
      <c r="EU19" s="27"/>
      <c r="EV19" s="27"/>
      <c r="EW19" s="27"/>
      <c r="EX19" s="27"/>
      <c r="EY19" s="27"/>
      <c r="EZ19" s="27"/>
      <c r="FA19" s="27"/>
      <c r="FB19" s="27"/>
      <c r="FC19" s="27"/>
      <c r="FD19" s="27"/>
      <c r="FE19" s="96"/>
      <c r="FF19" s="101"/>
      <c r="FG19" s="98"/>
      <c r="FH19" s="27"/>
      <c r="FI19" s="27"/>
      <c r="FJ19" s="27"/>
      <c r="FK19" s="27"/>
      <c r="FL19" s="27"/>
      <c r="FM19" s="27"/>
      <c r="FN19" s="27"/>
      <c r="FO19" s="27"/>
      <c r="FP19" s="27"/>
      <c r="FQ19" s="27"/>
      <c r="FR19" s="27"/>
      <c r="FS19" s="27"/>
      <c r="FT19" s="27"/>
      <c r="FU19" s="27"/>
      <c r="FV19" s="27"/>
      <c r="FW19" s="27"/>
      <c r="FX19" s="27"/>
      <c r="FY19" s="27"/>
      <c r="FZ19" s="27"/>
      <c r="GC19" s="95">
        <v>1</v>
      </c>
    </row>
    <row r="20" spans="1:185" s="2" customFormat="1" ht="21.6" customHeight="1" thickBot="1" x14ac:dyDescent="0.35">
      <c r="A20" s="40"/>
      <c r="B20" s="46" t="s">
        <v>73</v>
      </c>
      <c r="C20" s="14">
        <v>0.9</v>
      </c>
      <c r="D20" s="57">
        <v>45909</v>
      </c>
      <c r="E20" s="57">
        <v>45915</v>
      </c>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c r="CY20" s="27"/>
      <c r="CZ20" s="27"/>
      <c r="DA20" s="27"/>
      <c r="DB20" s="27"/>
      <c r="DC20" s="27"/>
      <c r="DD20" s="27"/>
      <c r="DE20" s="27"/>
      <c r="DF20" s="27"/>
      <c r="DG20" s="27"/>
      <c r="DH20" s="27"/>
      <c r="DI20" s="27"/>
      <c r="DJ20" s="27"/>
      <c r="DK20" s="27"/>
      <c r="DL20" s="27"/>
      <c r="DM20" s="27"/>
      <c r="DN20" s="27"/>
      <c r="DO20" s="27"/>
      <c r="DP20" s="27"/>
      <c r="DQ20" s="27"/>
      <c r="DR20" s="27"/>
      <c r="DS20" s="27"/>
      <c r="DT20" s="27"/>
      <c r="DU20" s="27"/>
      <c r="DV20" s="27"/>
      <c r="DW20" s="27"/>
      <c r="DX20" s="27"/>
      <c r="DY20" s="27"/>
      <c r="DZ20" s="27"/>
      <c r="EA20" s="27"/>
      <c r="EB20" s="27"/>
      <c r="EC20" s="27"/>
      <c r="ED20" s="27"/>
      <c r="EE20" s="27"/>
      <c r="EF20" s="27"/>
      <c r="EG20" s="27"/>
      <c r="EH20" s="27"/>
      <c r="EI20" s="27"/>
      <c r="EJ20" s="27"/>
      <c r="EK20" s="27"/>
      <c r="EL20" s="27"/>
      <c r="EM20" s="27"/>
      <c r="EN20" s="27"/>
      <c r="EO20" s="27"/>
      <c r="EP20" s="27"/>
      <c r="EQ20" s="27"/>
      <c r="ER20" s="27"/>
      <c r="ES20" s="27"/>
      <c r="ET20" s="27"/>
      <c r="EU20" s="27"/>
      <c r="EV20" s="27"/>
      <c r="EW20" s="27"/>
      <c r="EX20" s="27"/>
      <c r="EY20" s="27"/>
      <c r="EZ20" s="27"/>
      <c r="FA20" s="27"/>
      <c r="FB20" s="27"/>
      <c r="FC20" s="27"/>
      <c r="FD20" s="27"/>
      <c r="FE20" s="96"/>
      <c r="FF20" s="101"/>
      <c r="FG20" s="98"/>
      <c r="FH20" s="27"/>
      <c r="FI20" s="27"/>
      <c r="FJ20" s="27"/>
      <c r="FK20" s="27"/>
      <c r="FL20" s="27"/>
      <c r="FM20" s="27"/>
      <c r="FN20" s="27"/>
      <c r="FO20" s="27"/>
      <c r="FP20" s="27"/>
      <c r="FQ20" s="27"/>
      <c r="FR20" s="27"/>
      <c r="FS20" s="27"/>
      <c r="FT20" s="27"/>
      <c r="FU20" s="27"/>
      <c r="FV20" s="27"/>
      <c r="FW20" s="27"/>
      <c r="FX20" s="27"/>
      <c r="FY20" s="27"/>
      <c r="FZ20" s="27"/>
      <c r="GC20" s="95">
        <v>1</v>
      </c>
    </row>
    <row r="21" spans="1:185" s="2" customFormat="1" ht="21.6" customHeight="1" thickBot="1" x14ac:dyDescent="0.35">
      <c r="A21" s="40"/>
      <c r="B21" s="15" t="s">
        <v>25</v>
      </c>
      <c r="C21" s="16"/>
      <c r="D21" s="58"/>
      <c r="E21" s="59"/>
      <c r="F21" s="27"/>
      <c r="G21" s="27"/>
      <c r="H21" s="27"/>
      <c r="I21" s="27"/>
      <c r="J21" s="27"/>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c r="BM21" s="27"/>
      <c r="BN21" s="27"/>
      <c r="BO21" s="27"/>
      <c r="BP21" s="27"/>
      <c r="BQ21" s="27"/>
      <c r="BR21" s="27"/>
      <c r="BS21" s="27"/>
      <c r="BT21" s="27"/>
      <c r="BU21" s="27"/>
      <c r="BV21" s="27"/>
      <c r="BW21" s="27"/>
      <c r="BX21" s="27"/>
      <c r="BY21" s="27"/>
      <c r="BZ21" s="27"/>
      <c r="CA21" s="27"/>
      <c r="CB21" s="27"/>
      <c r="CC21" s="27"/>
      <c r="CD21" s="27"/>
      <c r="CE21" s="27"/>
      <c r="CF21" s="27"/>
      <c r="CG21" s="27"/>
      <c r="CH21" s="27"/>
      <c r="CI21" s="27"/>
      <c r="CJ21" s="27"/>
      <c r="CK21" s="27"/>
      <c r="CL21" s="27"/>
      <c r="CM21" s="27"/>
      <c r="CN21" s="27"/>
      <c r="CO21" s="27"/>
      <c r="CP21" s="27"/>
      <c r="CQ21" s="27"/>
      <c r="CR21" s="27"/>
      <c r="CS21" s="27"/>
      <c r="CT21" s="27"/>
      <c r="CU21" s="27"/>
      <c r="CV21" s="27"/>
      <c r="CW21" s="27"/>
      <c r="CX21" s="27"/>
      <c r="CY21" s="27"/>
      <c r="CZ21" s="27"/>
      <c r="DA21" s="27"/>
      <c r="DB21" s="27"/>
      <c r="DC21" s="27"/>
      <c r="DD21" s="27"/>
      <c r="DE21" s="27"/>
      <c r="DF21" s="27"/>
      <c r="DG21" s="27"/>
      <c r="DH21" s="27"/>
      <c r="DI21" s="27"/>
      <c r="DJ21" s="27"/>
      <c r="DK21" s="27"/>
      <c r="DL21" s="27"/>
      <c r="DM21" s="27"/>
      <c r="DN21" s="27"/>
      <c r="DO21" s="27"/>
      <c r="DP21" s="27"/>
      <c r="DQ21" s="27"/>
      <c r="DR21" s="27"/>
      <c r="DS21" s="27"/>
      <c r="DT21" s="27"/>
      <c r="DU21" s="27"/>
      <c r="DV21" s="27"/>
      <c r="DW21" s="27"/>
      <c r="DX21" s="27"/>
      <c r="DY21" s="27"/>
      <c r="DZ21" s="27"/>
      <c r="EA21" s="27"/>
      <c r="EB21" s="27"/>
      <c r="EC21" s="27"/>
      <c r="ED21" s="27"/>
      <c r="EE21" s="27"/>
      <c r="EF21" s="27"/>
      <c r="EG21" s="27"/>
      <c r="EH21" s="27"/>
      <c r="EI21" s="27"/>
      <c r="EJ21" s="27"/>
      <c r="EK21" s="27"/>
      <c r="EL21" s="27"/>
      <c r="EM21" s="27"/>
      <c r="EN21" s="27"/>
      <c r="EO21" s="27"/>
      <c r="EP21" s="27"/>
      <c r="EQ21" s="27"/>
      <c r="ER21" s="27"/>
      <c r="ES21" s="27"/>
      <c r="ET21" s="27"/>
      <c r="EU21" s="27"/>
      <c r="EV21" s="27"/>
      <c r="EW21" s="27"/>
      <c r="EX21" s="27"/>
      <c r="EY21" s="27"/>
      <c r="EZ21" s="27"/>
      <c r="FA21" s="27"/>
      <c r="FB21" s="27"/>
      <c r="FC21" s="27"/>
      <c r="FD21" s="27"/>
      <c r="FE21" s="96"/>
      <c r="FF21" s="101"/>
      <c r="FG21" s="98"/>
      <c r="FH21" s="27"/>
      <c r="FI21" s="27"/>
      <c r="FJ21" s="27"/>
      <c r="FK21" s="27"/>
      <c r="FL21" s="27"/>
      <c r="FM21" s="27"/>
      <c r="FN21" s="27"/>
      <c r="FO21" s="27"/>
      <c r="FP21" s="27"/>
      <c r="FQ21" s="27"/>
      <c r="FR21" s="27"/>
      <c r="FS21" s="27"/>
      <c r="FT21" s="27"/>
      <c r="FU21" s="27"/>
      <c r="FV21" s="27"/>
      <c r="FW21" s="27"/>
      <c r="FX21" s="27"/>
      <c r="FY21" s="27"/>
      <c r="FZ21" s="27"/>
      <c r="GC21" s="95">
        <v>1</v>
      </c>
    </row>
    <row r="22" spans="1:185" s="2" customFormat="1" ht="21.6" customHeight="1" thickBot="1" x14ac:dyDescent="0.35">
      <c r="A22" s="40"/>
      <c r="B22" s="47" t="s">
        <v>61</v>
      </c>
      <c r="C22" s="17">
        <v>1</v>
      </c>
      <c r="D22" s="60">
        <f>DATE(2025, 9, 18)</f>
        <v>45918</v>
      </c>
      <c r="E22" s="60">
        <f>D22+13</f>
        <v>45931</v>
      </c>
      <c r="F22" s="27"/>
      <c r="G22" s="27"/>
      <c r="H22" s="27"/>
      <c r="I22" s="27"/>
      <c r="J22" s="27"/>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c r="BM22" s="27"/>
      <c r="BN22" s="27"/>
      <c r="BO22" s="27"/>
      <c r="BP22" s="27"/>
      <c r="BQ22" s="27"/>
      <c r="BR22" s="27"/>
      <c r="BS22" s="27"/>
      <c r="BT22" s="27"/>
      <c r="BU22" s="27"/>
      <c r="BV22" s="27"/>
      <c r="BW22" s="27"/>
      <c r="BX22" s="27"/>
      <c r="BY22" s="27"/>
      <c r="BZ22" s="27"/>
      <c r="CA22" s="27"/>
      <c r="CB22" s="27"/>
      <c r="CC22" s="27"/>
      <c r="CD22" s="27"/>
      <c r="CE22" s="27"/>
      <c r="CF22" s="27"/>
      <c r="CG22" s="27"/>
      <c r="CH22" s="27"/>
      <c r="CI22" s="27"/>
      <c r="CJ22" s="27"/>
      <c r="CK22" s="27"/>
      <c r="CL22" s="27"/>
      <c r="CM22" s="27"/>
      <c r="CN22" s="27"/>
      <c r="CO22" s="27"/>
      <c r="CP22" s="27"/>
      <c r="CQ22" s="27"/>
      <c r="CR22" s="27"/>
      <c r="CS22" s="27"/>
      <c r="CT22" s="27"/>
      <c r="CU22" s="27"/>
      <c r="CV22" s="27"/>
      <c r="CW22" s="27"/>
      <c r="CX22" s="27"/>
      <c r="CY22" s="27"/>
      <c r="CZ22" s="27"/>
      <c r="DA22" s="27"/>
      <c r="DB22" s="27"/>
      <c r="DC22" s="27"/>
      <c r="DD22" s="27"/>
      <c r="DE22" s="27"/>
      <c r="DF22" s="27"/>
      <c r="DG22" s="27"/>
      <c r="DH22" s="27"/>
      <c r="DI22" s="27"/>
      <c r="DJ22" s="27"/>
      <c r="DK22" s="27"/>
      <c r="DL22" s="27"/>
      <c r="DM22" s="27"/>
      <c r="DN22" s="27"/>
      <c r="DO22" s="27"/>
      <c r="DP22" s="27"/>
      <c r="DQ22" s="27"/>
      <c r="DR22" s="27"/>
      <c r="DS22" s="27"/>
      <c r="DT22" s="27"/>
      <c r="DU22" s="27"/>
      <c r="DV22" s="27"/>
      <c r="DW22" s="27"/>
      <c r="DX22" s="27"/>
      <c r="DY22" s="27"/>
      <c r="DZ22" s="27"/>
      <c r="EA22" s="27"/>
      <c r="EB22" s="27"/>
      <c r="EC22" s="27"/>
      <c r="ED22" s="27"/>
      <c r="EE22" s="27"/>
      <c r="EF22" s="27"/>
      <c r="EG22" s="27"/>
      <c r="EH22" s="27"/>
      <c r="EI22" s="27"/>
      <c r="EJ22" s="27"/>
      <c r="EK22" s="27"/>
      <c r="EL22" s="27"/>
      <c r="EM22" s="27"/>
      <c r="EN22" s="27"/>
      <c r="EO22" s="27"/>
      <c r="EP22" s="27"/>
      <c r="EQ22" s="27"/>
      <c r="ER22" s="27"/>
      <c r="ES22" s="27"/>
      <c r="ET22" s="27"/>
      <c r="EU22" s="27"/>
      <c r="EV22" s="27"/>
      <c r="EW22" s="27"/>
      <c r="EX22" s="27"/>
      <c r="EY22" s="27"/>
      <c r="EZ22" s="27"/>
      <c r="FA22" s="27"/>
      <c r="FB22" s="27"/>
      <c r="FC22" s="27"/>
      <c r="FD22" s="27"/>
      <c r="FE22" s="96"/>
      <c r="FF22" s="101"/>
      <c r="FG22" s="98"/>
      <c r="FH22" s="27"/>
      <c r="FI22" s="27"/>
      <c r="FJ22" s="27"/>
      <c r="FK22" s="27"/>
      <c r="FL22" s="27"/>
      <c r="FM22" s="27"/>
      <c r="FN22" s="27"/>
      <c r="FO22" s="27"/>
      <c r="FP22" s="27"/>
      <c r="FQ22" s="27"/>
      <c r="FR22" s="27"/>
      <c r="FS22" s="27"/>
      <c r="FT22" s="27"/>
      <c r="FU22" s="27"/>
      <c r="FV22" s="27"/>
      <c r="FW22" s="27"/>
      <c r="FX22" s="27"/>
      <c r="FY22" s="27"/>
      <c r="FZ22" s="27"/>
      <c r="GC22" s="95">
        <v>1</v>
      </c>
    </row>
    <row r="23" spans="1:185" s="2" customFormat="1" ht="21.6" customHeight="1" thickBot="1" x14ac:dyDescent="0.35">
      <c r="A23" s="40"/>
      <c r="B23" s="47" t="s">
        <v>61</v>
      </c>
      <c r="C23" s="17">
        <v>0</v>
      </c>
      <c r="D23" s="60">
        <f>DATE(2025, 11,20)</f>
        <v>45981</v>
      </c>
      <c r="E23" s="60">
        <f>D23+10</f>
        <v>45991</v>
      </c>
      <c r="F23" s="27"/>
      <c r="G23" s="27"/>
      <c r="H23" s="27"/>
      <c r="I23" s="27"/>
      <c r="J23" s="27"/>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c r="CY23" s="27"/>
      <c r="CZ23" s="27"/>
      <c r="DA23" s="27"/>
      <c r="DB23" s="27"/>
      <c r="DC23" s="27"/>
      <c r="DD23" s="27"/>
      <c r="DE23" s="27"/>
      <c r="DF23" s="27"/>
      <c r="DG23" s="27"/>
      <c r="DH23" s="27"/>
      <c r="DI23" s="27"/>
      <c r="DJ23" s="27"/>
      <c r="DK23" s="27"/>
      <c r="DL23" s="27"/>
      <c r="DM23" s="27"/>
      <c r="DN23" s="27"/>
      <c r="DO23" s="27"/>
      <c r="DP23" s="27"/>
      <c r="DQ23" s="27"/>
      <c r="DR23" s="27"/>
      <c r="DS23" s="27"/>
      <c r="DT23" s="27"/>
      <c r="DU23" s="27"/>
      <c r="DV23" s="27"/>
      <c r="DW23" s="27"/>
      <c r="DX23" s="27"/>
      <c r="DY23" s="27"/>
      <c r="DZ23" s="27"/>
      <c r="EA23" s="27"/>
      <c r="EB23" s="27"/>
      <c r="EC23" s="27"/>
      <c r="ED23" s="27"/>
      <c r="EE23" s="27"/>
      <c r="EF23" s="27"/>
      <c r="EG23" s="27"/>
      <c r="EH23" s="27"/>
      <c r="EI23" s="27"/>
      <c r="EJ23" s="27"/>
      <c r="EK23" s="27"/>
      <c r="EL23" s="27"/>
      <c r="EM23" s="27"/>
      <c r="EN23" s="27"/>
      <c r="EO23" s="27"/>
      <c r="EP23" s="27"/>
      <c r="EQ23" s="27"/>
      <c r="ER23" s="27"/>
      <c r="ES23" s="27"/>
      <c r="ET23" s="27"/>
      <c r="EU23" s="27"/>
      <c r="EV23" s="27"/>
      <c r="EW23" s="27"/>
      <c r="EX23" s="27"/>
      <c r="EY23" s="27"/>
      <c r="EZ23" s="27"/>
      <c r="FA23" s="27"/>
      <c r="FB23" s="27"/>
      <c r="FC23" s="27"/>
      <c r="FD23" s="27"/>
      <c r="FE23" s="96"/>
      <c r="FF23" s="101"/>
      <c r="FG23" s="98"/>
      <c r="FH23" s="27"/>
      <c r="FI23" s="27"/>
      <c r="FJ23" s="27"/>
      <c r="FK23" s="27"/>
      <c r="FL23" s="27"/>
      <c r="FM23" s="27"/>
      <c r="FN23" s="27"/>
      <c r="FO23" s="27"/>
      <c r="FP23" s="27"/>
      <c r="FQ23" s="27"/>
      <c r="FR23" s="27"/>
      <c r="FS23" s="27"/>
      <c r="FT23" s="27"/>
      <c r="FU23" s="27"/>
      <c r="FV23" s="27"/>
      <c r="FW23" s="27"/>
      <c r="FX23" s="27"/>
      <c r="FY23" s="27"/>
      <c r="FZ23" s="27"/>
      <c r="GC23" s="95">
        <v>1</v>
      </c>
    </row>
    <row r="24" spans="1:185" s="2" customFormat="1" ht="21.6" customHeight="1" thickBot="1" x14ac:dyDescent="0.35">
      <c r="A24" s="40"/>
      <c r="B24" s="47" t="s">
        <v>75</v>
      </c>
      <c r="C24" s="17">
        <v>0</v>
      </c>
      <c r="D24" s="60">
        <v>45978</v>
      </c>
      <c r="E24" s="60">
        <v>45980</v>
      </c>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c r="BM24" s="27"/>
      <c r="BN24" s="27"/>
      <c r="BO24" s="27"/>
      <c r="BP24" s="27"/>
      <c r="BQ24" s="27"/>
      <c r="BR24" s="27"/>
      <c r="BS24" s="27"/>
      <c r="BT24" s="27"/>
      <c r="BU24" s="27"/>
      <c r="BV24" s="27"/>
      <c r="BW24" s="27"/>
      <c r="BX24" s="27"/>
      <c r="BY24" s="27"/>
      <c r="BZ24" s="27"/>
      <c r="CA24" s="27"/>
      <c r="CB24" s="27"/>
      <c r="CC24" s="27"/>
      <c r="CD24" s="27"/>
      <c r="CE24" s="27"/>
      <c r="CF24" s="27"/>
      <c r="CG24" s="27"/>
      <c r="CH24" s="27"/>
      <c r="CI24" s="27"/>
      <c r="CJ24" s="27"/>
      <c r="CK24" s="27"/>
      <c r="CL24" s="27"/>
      <c r="CM24" s="27"/>
      <c r="CN24" s="27"/>
      <c r="CO24" s="27"/>
      <c r="CP24" s="27"/>
      <c r="CQ24" s="27"/>
      <c r="CR24" s="27"/>
      <c r="CS24" s="27"/>
      <c r="CT24" s="27"/>
      <c r="CU24" s="27"/>
      <c r="CV24" s="27"/>
      <c r="CW24" s="27"/>
      <c r="CX24" s="27"/>
      <c r="CY24" s="27"/>
      <c r="CZ24" s="27"/>
      <c r="DA24" s="27"/>
      <c r="DB24" s="27"/>
      <c r="DC24" s="27"/>
      <c r="DD24" s="27"/>
      <c r="DE24" s="27"/>
      <c r="DF24" s="27"/>
      <c r="DG24" s="27"/>
      <c r="DH24" s="27"/>
      <c r="DI24" s="27"/>
      <c r="DJ24" s="27"/>
      <c r="DK24" s="27"/>
      <c r="DL24" s="27"/>
      <c r="DM24" s="27"/>
      <c r="DN24" s="27"/>
      <c r="DO24" s="27"/>
      <c r="DP24" s="27"/>
      <c r="DQ24" s="27"/>
      <c r="DR24" s="27"/>
      <c r="DS24" s="27"/>
      <c r="DT24" s="27"/>
      <c r="DU24" s="27"/>
      <c r="DV24" s="27"/>
      <c r="DW24" s="27"/>
      <c r="DX24" s="27"/>
      <c r="DY24" s="27"/>
      <c r="DZ24" s="27"/>
      <c r="EA24" s="27"/>
      <c r="EB24" s="27"/>
      <c r="EC24" s="27"/>
      <c r="ED24" s="27"/>
      <c r="EE24" s="27"/>
      <c r="EF24" s="27"/>
      <c r="EG24" s="27"/>
      <c r="EH24" s="27"/>
      <c r="EI24" s="27"/>
      <c r="EJ24" s="27"/>
      <c r="EK24" s="27"/>
      <c r="EL24" s="27"/>
      <c r="EM24" s="27"/>
      <c r="EN24" s="27"/>
      <c r="EO24" s="27"/>
      <c r="EP24" s="27"/>
      <c r="EQ24" s="27"/>
      <c r="ER24" s="27"/>
      <c r="ES24" s="27"/>
      <c r="ET24" s="27"/>
      <c r="EU24" s="27"/>
      <c r="EV24" s="27"/>
      <c r="EW24" s="27"/>
      <c r="EX24" s="27"/>
      <c r="EY24" s="27"/>
      <c r="EZ24" s="27"/>
      <c r="FA24" s="27"/>
      <c r="FB24" s="27"/>
      <c r="FC24" s="27"/>
      <c r="FD24" s="27"/>
      <c r="FE24" s="96"/>
      <c r="FF24" s="101"/>
      <c r="FG24" s="98"/>
      <c r="FH24" s="27"/>
      <c r="FI24" s="27"/>
      <c r="FJ24" s="27"/>
      <c r="FK24" s="27"/>
      <c r="FL24" s="27"/>
      <c r="FM24" s="27"/>
      <c r="FN24" s="27"/>
      <c r="FO24" s="27"/>
      <c r="FP24" s="27"/>
      <c r="FQ24" s="27"/>
      <c r="FR24" s="27"/>
      <c r="FS24" s="27"/>
      <c r="FT24" s="27"/>
      <c r="FU24" s="27"/>
      <c r="FV24" s="27"/>
      <c r="FW24" s="27"/>
      <c r="FX24" s="27"/>
      <c r="FY24" s="27"/>
      <c r="FZ24" s="27"/>
      <c r="GC24" s="95">
        <v>1</v>
      </c>
    </row>
    <row r="25" spans="1:185" s="2" customFormat="1" ht="21.6" customHeight="1" thickBot="1" x14ac:dyDescent="0.35">
      <c r="A25" s="40"/>
      <c r="B25" s="47" t="s">
        <v>76</v>
      </c>
      <c r="C25" s="17">
        <v>1</v>
      </c>
      <c r="D25" s="60">
        <v>45954</v>
      </c>
      <c r="E25" s="60">
        <v>45954</v>
      </c>
      <c r="F25" s="27"/>
      <c r="G25" s="27"/>
      <c r="H25" s="27"/>
      <c r="I25" s="27"/>
      <c r="J25" s="27"/>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c r="BM25" s="27"/>
      <c r="BN25" s="27"/>
      <c r="BO25" s="27"/>
      <c r="BP25" s="27"/>
      <c r="BQ25" s="27"/>
      <c r="BR25" s="27"/>
      <c r="BS25" s="27"/>
      <c r="BT25" s="27"/>
      <c r="BU25" s="27"/>
      <c r="BV25" s="27"/>
      <c r="BW25" s="27"/>
      <c r="BX25" s="27"/>
      <c r="BY25" s="27"/>
      <c r="BZ25" s="27"/>
      <c r="CA25" s="27"/>
      <c r="CB25" s="27"/>
      <c r="CC25" s="27"/>
      <c r="CD25" s="27"/>
      <c r="CE25" s="27"/>
      <c r="CF25" s="27"/>
      <c r="CG25" s="27"/>
      <c r="CH25" s="27"/>
      <c r="CI25" s="27"/>
      <c r="CJ25" s="27"/>
      <c r="CK25" s="27"/>
      <c r="CL25" s="27"/>
      <c r="CM25" s="27"/>
      <c r="CN25" s="27"/>
      <c r="CO25" s="27"/>
      <c r="CP25" s="27"/>
      <c r="CQ25" s="27"/>
      <c r="CR25" s="27"/>
      <c r="CS25" s="27"/>
      <c r="CT25" s="27"/>
      <c r="CU25" s="27"/>
      <c r="CV25" s="27"/>
      <c r="CW25" s="27"/>
      <c r="CX25" s="27"/>
      <c r="CY25" s="27"/>
      <c r="CZ25" s="27"/>
      <c r="DA25" s="27"/>
      <c r="DB25" s="27"/>
      <c r="DC25" s="27"/>
      <c r="DD25" s="27"/>
      <c r="DE25" s="27"/>
      <c r="DF25" s="27"/>
      <c r="DG25" s="27"/>
      <c r="DH25" s="27"/>
      <c r="DI25" s="27"/>
      <c r="DJ25" s="27"/>
      <c r="DK25" s="27"/>
      <c r="DL25" s="27"/>
      <c r="DM25" s="27"/>
      <c r="DN25" s="27"/>
      <c r="DO25" s="27"/>
      <c r="DP25" s="27"/>
      <c r="DQ25" s="27"/>
      <c r="DR25" s="27"/>
      <c r="DS25" s="27"/>
      <c r="DT25" s="27"/>
      <c r="DU25" s="27"/>
      <c r="DV25" s="27"/>
      <c r="DW25" s="27"/>
      <c r="DX25" s="27"/>
      <c r="DY25" s="27"/>
      <c r="DZ25" s="27"/>
      <c r="EA25" s="27"/>
      <c r="EB25" s="27"/>
      <c r="EC25" s="27"/>
      <c r="ED25" s="27"/>
      <c r="EE25" s="27"/>
      <c r="EF25" s="27"/>
      <c r="EG25" s="27"/>
      <c r="EH25" s="27"/>
      <c r="EI25" s="27"/>
      <c r="EJ25" s="27"/>
      <c r="EK25" s="27"/>
      <c r="EL25" s="27"/>
      <c r="EM25" s="27"/>
      <c r="EN25" s="27"/>
      <c r="EO25" s="27"/>
      <c r="EP25" s="27"/>
      <c r="EQ25" s="27"/>
      <c r="ER25" s="27"/>
      <c r="ES25" s="27"/>
      <c r="ET25" s="27"/>
      <c r="EU25" s="27"/>
      <c r="EV25" s="27"/>
      <c r="EW25" s="27"/>
      <c r="EX25" s="27"/>
      <c r="EY25" s="27"/>
      <c r="EZ25" s="27"/>
      <c r="FA25" s="27"/>
      <c r="FB25" s="27"/>
      <c r="FC25" s="27"/>
      <c r="FD25" s="27"/>
      <c r="FE25" s="96"/>
      <c r="FF25" s="101"/>
      <c r="FG25" s="98"/>
      <c r="FH25" s="27"/>
      <c r="FI25" s="27"/>
      <c r="FJ25" s="27"/>
      <c r="FK25" s="27"/>
      <c r="FL25" s="27"/>
      <c r="FM25" s="27"/>
      <c r="FN25" s="27"/>
      <c r="FO25" s="27"/>
      <c r="FP25" s="27"/>
      <c r="FQ25" s="27"/>
      <c r="FR25" s="27"/>
      <c r="FS25" s="27"/>
      <c r="FT25" s="27"/>
      <c r="FU25" s="27"/>
      <c r="FV25" s="27"/>
      <c r="FW25" s="27"/>
      <c r="FX25" s="27"/>
      <c r="FY25" s="27"/>
      <c r="FZ25" s="27"/>
      <c r="GC25" s="95">
        <v>1</v>
      </c>
    </row>
    <row r="26" spans="1:185" s="2" customFormat="1" ht="21.6" customHeight="1" thickBot="1" x14ac:dyDescent="0.35">
      <c r="A26" s="40"/>
      <c r="B26" s="47" t="s">
        <v>77</v>
      </c>
      <c r="C26" s="17">
        <v>0</v>
      </c>
      <c r="D26" s="60"/>
      <c r="E26" s="60"/>
      <c r="F26" s="27"/>
      <c r="G26" s="27"/>
      <c r="H26" s="27"/>
      <c r="I26" s="27"/>
      <c r="J26" s="27"/>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c r="CY26" s="27"/>
      <c r="CZ26" s="27"/>
      <c r="DA26" s="27"/>
      <c r="DB26" s="27"/>
      <c r="DC26" s="27"/>
      <c r="DD26" s="27"/>
      <c r="DE26" s="27"/>
      <c r="DF26" s="27"/>
      <c r="DG26" s="27"/>
      <c r="DH26" s="27"/>
      <c r="DI26" s="27"/>
      <c r="DJ26" s="27"/>
      <c r="DK26" s="27"/>
      <c r="DL26" s="27"/>
      <c r="DM26" s="27"/>
      <c r="DN26" s="27"/>
      <c r="DO26" s="27"/>
      <c r="DP26" s="27"/>
      <c r="DQ26" s="27"/>
      <c r="DR26" s="27"/>
      <c r="DS26" s="27"/>
      <c r="DT26" s="27"/>
      <c r="DU26" s="27"/>
      <c r="DV26" s="27"/>
      <c r="DW26" s="27"/>
      <c r="DX26" s="27"/>
      <c r="DY26" s="27"/>
      <c r="DZ26" s="27"/>
      <c r="EA26" s="27"/>
      <c r="EB26" s="27"/>
      <c r="EC26" s="27"/>
      <c r="ED26" s="27"/>
      <c r="EE26" s="27"/>
      <c r="EF26" s="27"/>
      <c r="EG26" s="27"/>
      <c r="EH26" s="27"/>
      <c r="EI26" s="27"/>
      <c r="EJ26" s="27"/>
      <c r="EK26" s="27"/>
      <c r="EL26" s="27"/>
      <c r="EM26" s="27"/>
      <c r="EN26" s="27"/>
      <c r="EO26" s="27"/>
      <c r="EP26" s="27"/>
      <c r="EQ26" s="27"/>
      <c r="ER26" s="27"/>
      <c r="ES26" s="27"/>
      <c r="ET26" s="27"/>
      <c r="EU26" s="27"/>
      <c r="EV26" s="27"/>
      <c r="EW26" s="27"/>
      <c r="EX26" s="27"/>
      <c r="EY26" s="27"/>
      <c r="EZ26" s="27"/>
      <c r="FA26" s="27"/>
      <c r="FB26" s="27"/>
      <c r="FC26" s="27"/>
      <c r="FD26" s="27"/>
      <c r="FE26" s="96"/>
      <c r="FF26" s="101"/>
      <c r="FG26" s="98"/>
      <c r="FH26" s="27"/>
      <c r="FI26" s="27"/>
      <c r="FJ26" s="27"/>
      <c r="FK26" s="27"/>
      <c r="FL26" s="27"/>
      <c r="FM26" s="27"/>
      <c r="FN26" s="27"/>
      <c r="FO26" s="27"/>
      <c r="FP26" s="27"/>
      <c r="FQ26" s="27"/>
      <c r="FR26" s="27"/>
      <c r="FS26" s="27"/>
      <c r="FT26" s="27"/>
      <c r="FU26" s="27"/>
      <c r="FV26" s="27"/>
      <c r="FW26" s="27"/>
      <c r="FX26" s="27"/>
      <c r="FY26" s="27"/>
      <c r="FZ26" s="27"/>
      <c r="GC26" s="95">
        <v>1</v>
      </c>
    </row>
    <row r="27" spans="1:185" s="2" customFormat="1" ht="21.6" customHeight="1" thickBot="1" x14ac:dyDescent="0.35">
      <c r="A27" s="40"/>
      <c r="B27" s="18" t="s">
        <v>26</v>
      </c>
      <c r="C27" s="19"/>
      <c r="D27" s="61"/>
      <c r="E27" s="62"/>
      <c r="F27" s="27"/>
      <c r="G27" s="27"/>
      <c r="H27" s="27"/>
      <c r="I27" s="27"/>
      <c r="J27" s="27"/>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c r="BM27" s="27"/>
      <c r="BN27" s="27"/>
      <c r="BO27" s="27"/>
      <c r="BP27" s="27"/>
      <c r="BQ27" s="27"/>
      <c r="BR27" s="27"/>
      <c r="BS27" s="27"/>
      <c r="BT27" s="27"/>
      <c r="BU27" s="27"/>
      <c r="BV27" s="27"/>
      <c r="BW27" s="27"/>
      <c r="BX27" s="27"/>
      <c r="BY27" s="27"/>
      <c r="BZ27" s="27"/>
      <c r="CA27" s="27"/>
      <c r="CB27" s="27"/>
      <c r="CC27" s="27"/>
      <c r="CD27" s="27"/>
      <c r="CE27" s="27"/>
      <c r="CF27" s="27"/>
      <c r="CG27" s="27"/>
      <c r="CH27" s="27"/>
      <c r="CI27" s="27"/>
      <c r="CJ27" s="27"/>
      <c r="CK27" s="27"/>
      <c r="CL27" s="27"/>
      <c r="CM27" s="27"/>
      <c r="CN27" s="27"/>
      <c r="CO27" s="27"/>
      <c r="CP27" s="27"/>
      <c r="CQ27" s="27"/>
      <c r="CR27" s="27"/>
      <c r="CS27" s="27"/>
      <c r="CT27" s="27"/>
      <c r="CU27" s="27"/>
      <c r="CV27" s="27"/>
      <c r="CW27" s="27"/>
      <c r="CX27" s="27"/>
      <c r="CY27" s="27"/>
      <c r="CZ27" s="27"/>
      <c r="DA27" s="27"/>
      <c r="DB27" s="27"/>
      <c r="DC27" s="27"/>
      <c r="DD27" s="27"/>
      <c r="DE27" s="27"/>
      <c r="DF27" s="27"/>
      <c r="DG27" s="27"/>
      <c r="DH27" s="27"/>
      <c r="DI27" s="27"/>
      <c r="DJ27" s="27"/>
      <c r="DK27" s="27"/>
      <c r="DL27" s="27"/>
      <c r="DM27" s="27"/>
      <c r="DN27" s="27"/>
      <c r="DO27" s="27"/>
      <c r="DP27" s="27"/>
      <c r="DQ27" s="27"/>
      <c r="DR27" s="27"/>
      <c r="DS27" s="27"/>
      <c r="DT27" s="27"/>
      <c r="DU27" s="27"/>
      <c r="DV27" s="27"/>
      <c r="DW27" s="27"/>
      <c r="DX27" s="27"/>
      <c r="DY27" s="27"/>
      <c r="DZ27" s="27"/>
      <c r="EA27" s="27"/>
      <c r="EB27" s="27"/>
      <c r="EC27" s="27"/>
      <c r="ED27" s="27"/>
      <c r="EE27" s="27"/>
      <c r="EF27" s="27"/>
      <c r="EG27" s="27"/>
      <c r="EH27" s="27"/>
      <c r="EI27" s="27"/>
      <c r="EJ27" s="27"/>
      <c r="EK27" s="27"/>
      <c r="EL27" s="27"/>
      <c r="EM27" s="27"/>
      <c r="EN27" s="27"/>
      <c r="EO27" s="27"/>
      <c r="EP27" s="27"/>
      <c r="EQ27" s="27"/>
      <c r="ER27" s="27"/>
      <c r="ES27" s="27"/>
      <c r="ET27" s="27"/>
      <c r="EU27" s="27"/>
      <c r="EV27" s="27"/>
      <c r="EW27" s="27"/>
      <c r="EX27" s="27"/>
      <c r="EY27" s="27"/>
      <c r="EZ27" s="27"/>
      <c r="FA27" s="27"/>
      <c r="FB27" s="27"/>
      <c r="FC27" s="27"/>
      <c r="FD27" s="27"/>
      <c r="FE27" s="96"/>
      <c r="FF27" s="101"/>
      <c r="FG27" s="98"/>
      <c r="FH27" s="27"/>
      <c r="FI27" s="27"/>
      <c r="FJ27" s="27"/>
      <c r="FK27" s="27"/>
      <c r="FL27" s="27"/>
      <c r="FM27" s="27"/>
      <c r="FN27" s="27"/>
      <c r="FO27" s="27"/>
      <c r="FP27" s="27"/>
      <c r="FQ27" s="27"/>
      <c r="FR27" s="27"/>
      <c r="FS27" s="27"/>
      <c r="FT27" s="27"/>
      <c r="FU27" s="27"/>
      <c r="FV27" s="27"/>
      <c r="FW27" s="27"/>
      <c r="FX27" s="27"/>
      <c r="FY27" s="27"/>
      <c r="FZ27" s="27"/>
      <c r="GC27" s="95">
        <v>1</v>
      </c>
    </row>
    <row r="28" spans="1:185" s="2" customFormat="1" ht="21.6" customHeight="1" thickBot="1" x14ac:dyDescent="0.35">
      <c r="A28" s="40"/>
      <c r="B28" s="48" t="s">
        <v>62</v>
      </c>
      <c r="C28" s="20">
        <v>1</v>
      </c>
      <c r="D28" s="63">
        <v>45929</v>
      </c>
      <c r="E28" s="63">
        <v>45950</v>
      </c>
      <c r="F28" s="27"/>
      <c r="G28" s="27"/>
      <c r="H28" s="27"/>
      <c r="I28" s="27"/>
      <c r="J28" s="27"/>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c r="BM28" s="27"/>
      <c r="BN28" s="27"/>
      <c r="BO28" s="27"/>
      <c r="BP28" s="27"/>
      <c r="BQ28" s="27"/>
      <c r="BR28" s="27"/>
      <c r="BS28" s="27"/>
      <c r="BT28" s="27"/>
      <c r="BU28" s="27"/>
      <c r="BV28" s="27"/>
      <c r="BW28" s="27"/>
      <c r="BX28" s="27"/>
      <c r="BY28" s="27"/>
      <c r="BZ28" s="27"/>
      <c r="CA28" s="27"/>
      <c r="CB28" s="27"/>
      <c r="CC28" s="27"/>
      <c r="CD28" s="27"/>
      <c r="CE28" s="27"/>
      <c r="CF28" s="27"/>
      <c r="CG28" s="27"/>
      <c r="CH28" s="27"/>
      <c r="CI28" s="27"/>
      <c r="CJ28" s="27"/>
      <c r="CK28" s="27"/>
      <c r="CL28" s="27"/>
      <c r="CM28" s="27"/>
      <c r="CN28" s="27"/>
      <c r="CO28" s="27"/>
      <c r="CP28" s="27"/>
      <c r="CQ28" s="27"/>
      <c r="CR28" s="27"/>
      <c r="CS28" s="27"/>
      <c r="CT28" s="27"/>
      <c r="CU28" s="27"/>
      <c r="CV28" s="27"/>
      <c r="CW28" s="27"/>
      <c r="CX28" s="27"/>
      <c r="CY28" s="27"/>
      <c r="CZ28" s="27"/>
      <c r="DA28" s="27"/>
      <c r="DB28" s="27"/>
      <c r="DC28" s="27"/>
      <c r="DD28" s="27"/>
      <c r="DE28" s="27"/>
      <c r="DF28" s="27"/>
      <c r="DG28" s="27"/>
      <c r="DH28" s="27"/>
      <c r="DI28" s="27"/>
      <c r="DJ28" s="27"/>
      <c r="DK28" s="27"/>
      <c r="DL28" s="27"/>
      <c r="DM28" s="27"/>
      <c r="DN28" s="27"/>
      <c r="DO28" s="27"/>
      <c r="DP28" s="27"/>
      <c r="DQ28" s="27"/>
      <c r="DR28" s="27"/>
      <c r="DS28" s="27"/>
      <c r="DT28" s="27"/>
      <c r="DU28" s="27"/>
      <c r="DV28" s="27"/>
      <c r="DW28" s="27"/>
      <c r="DX28" s="27"/>
      <c r="DY28" s="27"/>
      <c r="DZ28" s="27"/>
      <c r="EA28" s="27"/>
      <c r="EB28" s="27"/>
      <c r="EC28" s="27"/>
      <c r="ED28" s="27"/>
      <c r="EE28" s="27"/>
      <c r="EF28" s="27"/>
      <c r="EG28" s="27"/>
      <c r="EH28" s="27"/>
      <c r="EI28" s="27"/>
      <c r="EJ28" s="27"/>
      <c r="EK28" s="27"/>
      <c r="EL28" s="27"/>
      <c r="EM28" s="27"/>
      <c r="EN28" s="27"/>
      <c r="EO28" s="27"/>
      <c r="EP28" s="27"/>
      <c r="EQ28" s="27"/>
      <c r="ER28" s="27"/>
      <c r="ES28" s="27"/>
      <c r="ET28" s="27"/>
      <c r="EU28" s="27"/>
      <c r="EV28" s="27"/>
      <c r="EW28" s="27"/>
      <c r="EX28" s="27"/>
      <c r="EY28" s="27"/>
      <c r="EZ28" s="27"/>
      <c r="FA28" s="27"/>
      <c r="FB28" s="27"/>
      <c r="FC28" s="27"/>
      <c r="FD28" s="27"/>
      <c r="FE28" s="96"/>
      <c r="FF28" s="101"/>
      <c r="FG28" s="98"/>
      <c r="FH28" s="27"/>
      <c r="FI28" s="27"/>
      <c r="FJ28" s="27"/>
      <c r="FK28" s="27"/>
      <c r="FL28" s="27"/>
      <c r="FM28" s="27"/>
      <c r="FN28" s="27"/>
      <c r="FO28" s="27"/>
      <c r="FP28" s="27"/>
      <c r="FQ28" s="27"/>
      <c r="FR28" s="27"/>
      <c r="FS28" s="27"/>
      <c r="FT28" s="27"/>
      <c r="FU28" s="27"/>
      <c r="FV28" s="27"/>
      <c r="FW28" s="27"/>
      <c r="FX28" s="27"/>
      <c r="FY28" s="27"/>
      <c r="FZ28" s="27"/>
      <c r="GC28" s="95">
        <v>1</v>
      </c>
    </row>
    <row r="29" spans="1:185" s="2" customFormat="1" ht="21.6" customHeight="1" thickBot="1" x14ac:dyDescent="0.35">
      <c r="A29" s="40"/>
      <c r="B29" s="48" t="s">
        <v>64</v>
      </c>
      <c r="C29" s="20">
        <v>0.7</v>
      </c>
      <c r="D29" s="63">
        <v>45914</v>
      </c>
      <c r="E29" s="63">
        <v>45922</v>
      </c>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c r="CY29" s="27"/>
      <c r="CZ29" s="27"/>
      <c r="DA29" s="27"/>
      <c r="DB29" s="27"/>
      <c r="DC29" s="27"/>
      <c r="DD29" s="27"/>
      <c r="DE29" s="27"/>
      <c r="DF29" s="27"/>
      <c r="DG29" s="27"/>
      <c r="DH29" s="27"/>
      <c r="DI29" s="27"/>
      <c r="DJ29" s="27"/>
      <c r="DK29" s="27"/>
      <c r="DL29" s="27"/>
      <c r="DM29" s="27"/>
      <c r="DN29" s="27"/>
      <c r="DO29" s="27"/>
      <c r="DP29" s="27"/>
      <c r="DQ29" s="27"/>
      <c r="DR29" s="27"/>
      <c r="DS29" s="27"/>
      <c r="DT29" s="27"/>
      <c r="DU29" s="27"/>
      <c r="DV29" s="27"/>
      <c r="DW29" s="27"/>
      <c r="DX29" s="27"/>
      <c r="DY29" s="27"/>
      <c r="DZ29" s="27"/>
      <c r="EA29" s="27"/>
      <c r="EB29" s="27"/>
      <c r="EC29" s="27"/>
      <c r="ED29" s="27"/>
      <c r="EE29" s="27"/>
      <c r="EF29" s="27"/>
      <c r="EG29" s="27"/>
      <c r="EH29" s="27"/>
      <c r="EI29" s="27"/>
      <c r="EJ29" s="27"/>
      <c r="EK29" s="27"/>
      <c r="EL29" s="27"/>
      <c r="EM29" s="27"/>
      <c r="EN29" s="27"/>
      <c r="EO29" s="27"/>
      <c r="EP29" s="27"/>
      <c r="EQ29" s="27"/>
      <c r="ER29" s="27"/>
      <c r="ES29" s="27"/>
      <c r="ET29" s="27"/>
      <c r="EU29" s="27"/>
      <c r="EV29" s="27"/>
      <c r="EW29" s="27"/>
      <c r="EX29" s="27"/>
      <c r="EY29" s="27"/>
      <c r="EZ29" s="27"/>
      <c r="FA29" s="27"/>
      <c r="FB29" s="27"/>
      <c r="FC29" s="27"/>
      <c r="FD29" s="27"/>
      <c r="FE29" s="96"/>
      <c r="FF29" s="101"/>
      <c r="FG29" s="98"/>
      <c r="FH29" s="27"/>
      <c r="FI29" s="27"/>
      <c r="FJ29" s="27"/>
      <c r="FK29" s="27"/>
      <c r="FL29" s="27"/>
      <c r="FM29" s="27"/>
      <c r="FN29" s="27"/>
      <c r="FO29" s="27"/>
      <c r="FP29" s="27"/>
      <c r="FQ29" s="27"/>
      <c r="FR29" s="27"/>
      <c r="FS29" s="27"/>
      <c r="FT29" s="27"/>
      <c r="FU29" s="27"/>
      <c r="FV29" s="27"/>
      <c r="FW29" s="27"/>
      <c r="FX29" s="27"/>
      <c r="FY29" s="27"/>
      <c r="FZ29" s="27"/>
      <c r="GC29" s="95">
        <v>1</v>
      </c>
    </row>
    <row r="30" spans="1:185" s="2" customFormat="1" ht="21.6" customHeight="1" thickBot="1" x14ac:dyDescent="0.35">
      <c r="A30" s="40"/>
      <c r="B30" s="48" t="s">
        <v>63</v>
      </c>
      <c r="C30" s="20">
        <v>0.7</v>
      </c>
      <c r="D30" s="63">
        <v>45922</v>
      </c>
      <c r="E30" s="63">
        <v>45931</v>
      </c>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c r="DD30" s="27"/>
      <c r="DE30" s="27"/>
      <c r="DF30" s="27"/>
      <c r="DG30" s="27"/>
      <c r="DH30" s="27"/>
      <c r="DI30" s="27"/>
      <c r="DJ30" s="27"/>
      <c r="DK30" s="27"/>
      <c r="DL30" s="27"/>
      <c r="DM30" s="27"/>
      <c r="DN30" s="27"/>
      <c r="DO30" s="27"/>
      <c r="DP30" s="27"/>
      <c r="DQ30" s="27"/>
      <c r="DR30" s="27"/>
      <c r="DS30" s="27"/>
      <c r="DT30" s="27"/>
      <c r="DU30" s="27"/>
      <c r="DV30" s="27"/>
      <c r="DW30" s="27"/>
      <c r="DX30" s="27"/>
      <c r="DY30" s="27"/>
      <c r="DZ30" s="27"/>
      <c r="EA30" s="27"/>
      <c r="EB30" s="27"/>
      <c r="EC30" s="27"/>
      <c r="ED30" s="27"/>
      <c r="EE30" s="27"/>
      <c r="EF30" s="27"/>
      <c r="EG30" s="27"/>
      <c r="EH30" s="27"/>
      <c r="EI30" s="27"/>
      <c r="EJ30" s="27"/>
      <c r="EK30" s="27"/>
      <c r="EL30" s="27"/>
      <c r="EM30" s="27"/>
      <c r="EN30" s="27"/>
      <c r="EO30" s="27"/>
      <c r="EP30" s="27"/>
      <c r="EQ30" s="27"/>
      <c r="ER30" s="27"/>
      <c r="ES30" s="27"/>
      <c r="ET30" s="27"/>
      <c r="EU30" s="27"/>
      <c r="EV30" s="27"/>
      <c r="EW30" s="27"/>
      <c r="EX30" s="27"/>
      <c r="EY30" s="27"/>
      <c r="EZ30" s="27"/>
      <c r="FA30" s="27"/>
      <c r="FB30" s="27"/>
      <c r="FC30" s="27"/>
      <c r="FD30" s="27"/>
      <c r="FE30" s="96"/>
      <c r="FF30" s="101"/>
      <c r="FG30" s="98"/>
      <c r="FH30" s="27"/>
      <c r="FI30" s="27"/>
      <c r="FJ30" s="27"/>
      <c r="FK30" s="27"/>
      <c r="FL30" s="27"/>
      <c r="FM30" s="27"/>
      <c r="FN30" s="27"/>
      <c r="FO30" s="27"/>
      <c r="FP30" s="27"/>
      <c r="FQ30" s="27"/>
      <c r="FR30" s="27"/>
      <c r="FS30" s="27"/>
      <c r="FT30" s="27"/>
      <c r="FU30" s="27"/>
      <c r="FV30" s="27"/>
      <c r="FW30" s="27"/>
      <c r="FX30" s="27"/>
      <c r="FY30" s="27"/>
      <c r="FZ30" s="27"/>
      <c r="GC30" s="95">
        <v>1</v>
      </c>
    </row>
    <row r="31" spans="1:185" s="2" customFormat="1" ht="21.6" customHeight="1" thickBot="1" x14ac:dyDescent="0.35">
      <c r="A31" s="40"/>
      <c r="B31" s="48" t="s">
        <v>65</v>
      </c>
      <c r="C31" s="20">
        <v>1</v>
      </c>
      <c r="D31" s="63">
        <v>45908</v>
      </c>
      <c r="E31" s="63">
        <v>45916</v>
      </c>
      <c r="F31" s="27"/>
      <c r="G31" s="27"/>
      <c r="H31" s="27"/>
      <c r="I31" s="27"/>
      <c r="J31" s="27"/>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c r="BM31" s="27"/>
      <c r="BN31" s="27"/>
      <c r="BO31" s="27"/>
      <c r="BP31" s="27"/>
      <c r="BQ31" s="27"/>
      <c r="BR31" s="27"/>
      <c r="BS31" s="27"/>
      <c r="BT31" s="27"/>
      <c r="BU31" s="27"/>
      <c r="BV31" s="27"/>
      <c r="BW31" s="27"/>
      <c r="BX31" s="27"/>
      <c r="BY31" s="27"/>
      <c r="BZ31" s="27"/>
      <c r="CA31" s="27"/>
      <c r="CB31" s="27"/>
      <c r="CC31" s="27"/>
      <c r="CD31" s="27"/>
      <c r="CE31" s="27"/>
      <c r="CF31" s="27"/>
      <c r="CG31" s="27"/>
      <c r="CH31" s="27"/>
      <c r="CI31" s="27"/>
      <c r="CJ31" s="27"/>
      <c r="CK31" s="27"/>
      <c r="CL31" s="27"/>
      <c r="CM31" s="27"/>
      <c r="CN31" s="27"/>
      <c r="CO31" s="27"/>
      <c r="CP31" s="27"/>
      <c r="CQ31" s="27"/>
      <c r="CR31" s="27"/>
      <c r="CS31" s="27"/>
      <c r="CT31" s="27"/>
      <c r="CU31" s="27"/>
      <c r="CV31" s="27"/>
      <c r="CW31" s="27"/>
      <c r="CX31" s="27"/>
      <c r="CY31" s="27"/>
      <c r="CZ31" s="27"/>
      <c r="DA31" s="27"/>
      <c r="DB31" s="27"/>
      <c r="DC31" s="27"/>
      <c r="DD31" s="27"/>
      <c r="DE31" s="27"/>
      <c r="DF31" s="27"/>
      <c r="DG31" s="27"/>
      <c r="DH31" s="27"/>
      <c r="DI31" s="27"/>
      <c r="DJ31" s="27"/>
      <c r="DK31" s="27"/>
      <c r="DL31" s="27"/>
      <c r="DM31" s="27"/>
      <c r="DN31" s="27"/>
      <c r="DO31" s="27"/>
      <c r="DP31" s="27"/>
      <c r="DQ31" s="27"/>
      <c r="DR31" s="27"/>
      <c r="DS31" s="27"/>
      <c r="DT31" s="27"/>
      <c r="DU31" s="27"/>
      <c r="DV31" s="27"/>
      <c r="DW31" s="27"/>
      <c r="DX31" s="27"/>
      <c r="DY31" s="27"/>
      <c r="DZ31" s="27"/>
      <c r="EA31" s="27"/>
      <c r="EB31" s="27"/>
      <c r="EC31" s="27"/>
      <c r="ED31" s="27"/>
      <c r="EE31" s="27"/>
      <c r="EF31" s="27"/>
      <c r="EG31" s="27"/>
      <c r="EH31" s="27"/>
      <c r="EI31" s="27"/>
      <c r="EJ31" s="27"/>
      <c r="EK31" s="27"/>
      <c r="EL31" s="27"/>
      <c r="EM31" s="27"/>
      <c r="EN31" s="27"/>
      <c r="EO31" s="27"/>
      <c r="EP31" s="27"/>
      <c r="EQ31" s="27"/>
      <c r="ER31" s="27"/>
      <c r="ES31" s="27"/>
      <c r="ET31" s="27"/>
      <c r="EU31" s="27"/>
      <c r="EV31" s="27"/>
      <c r="EW31" s="27"/>
      <c r="EX31" s="27"/>
      <c r="EY31" s="27"/>
      <c r="EZ31" s="27"/>
      <c r="FA31" s="27"/>
      <c r="FB31" s="27"/>
      <c r="FC31" s="27"/>
      <c r="FD31" s="27"/>
      <c r="FE31" s="96"/>
      <c r="FF31" s="101"/>
      <c r="FG31" s="98"/>
      <c r="FH31" s="27"/>
      <c r="FI31" s="27"/>
      <c r="FJ31" s="27"/>
      <c r="FK31" s="27"/>
      <c r="FL31" s="27"/>
      <c r="FM31" s="27"/>
      <c r="FN31" s="27"/>
      <c r="FO31" s="27"/>
      <c r="FP31" s="27"/>
      <c r="FQ31" s="27"/>
      <c r="FR31" s="27"/>
      <c r="FS31" s="27"/>
      <c r="FT31" s="27"/>
      <c r="FU31" s="27"/>
      <c r="FV31" s="27"/>
      <c r="FW31" s="27"/>
      <c r="FX31" s="27"/>
      <c r="FY31" s="27"/>
      <c r="FZ31" s="27"/>
      <c r="GC31" s="95">
        <v>1</v>
      </c>
    </row>
    <row r="32" spans="1:185" s="2" customFormat="1" ht="21.6" customHeight="1" thickBot="1" x14ac:dyDescent="0.35">
      <c r="A32" s="40"/>
      <c r="B32" s="48" t="s">
        <v>66</v>
      </c>
      <c r="C32" s="20">
        <v>0</v>
      </c>
      <c r="D32" s="63"/>
      <c r="E32" s="63"/>
      <c r="F32" s="27"/>
      <c r="G32" s="27"/>
      <c r="H32" s="27"/>
      <c r="I32" s="27"/>
      <c r="J32" s="27"/>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c r="CY32" s="27"/>
      <c r="CZ32" s="27"/>
      <c r="DA32" s="27"/>
      <c r="DB32" s="27"/>
      <c r="DC32" s="27"/>
      <c r="DD32" s="27"/>
      <c r="DE32" s="27"/>
      <c r="DF32" s="27"/>
      <c r="DG32" s="27"/>
      <c r="DH32" s="27"/>
      <c r="DI32" s="27"/>
      <c r="DJ32" s="27"/>
      <c r="DK32" s="27"/>
      <c r="DL32" s="27"/>
      <c r="DM32" s="27"/>
      <c r="DN32" s="27"/>
      <c r="DO32" s="27"/>
      <c r="DP32" s="27"/>
      <c r="DQ32" s="27"/>
      <c r="DR32" s="27"/>
      <c r="DS32" s="27"/>
      <c r="DT32" s="27"/>
      <c r="DU32" s="27"/>
      <c r="DV32" s="27"/>
      <c r="DW32" s="27"/>
      <c r="DX32" s="27"/>
      <c r="DY32" s="27"/>
      <c r="DZ32" s="27"/>
      <c r="EA32" s="27"/>
      <c r="EB32" s="27"/>
      <c r="EC32" s="27"/>
      <c r="ED32" s="27"/>
      <c r="EE32" s="27"/>
      <c r="EF32" s="27"/>
      <c r="EG32" s="27"/>
      <c r="EH32" s="27"/>
      <c r="EI32" s="27"/>
      <c r="EJ32" s="27"/>
      <c r="EK32" s="27"/>
      <c r="EL32" s="27"/>
      <c r="EM32" s="27"/>
      <c r="EN32" s="27"/>
      <c r="EO32" s="27"/>
      <c r="EP32" s="27"/>
      <c r="EQ32" s="27"/>
      <c r="ER32" s="27"/>
      <c r="ES32" s="27"/>
      <c r="ET32" s="27"/>
      <c r="EU32" s="27"/>
      <c r="EV32" s="27"/>
      <c r="EW32" s="27"/>
      <c r="EX32" s="27"/>
      <c r="EY32" s="27"/>
      <c r="EZ32" s="27"/>
      <c r="FA32" s="27"/>
      <c r="FB32" s="27"/>
      <c r="FC32" s="27"/>
      <c r="FD32" s="27"/>
      <c r="FE32" s="96"/>
      <c r="FF32" s="101"/>
      <c r="FG32" s="98"/>
      <c r="FH32" s="27"/>
      <c r="FI32" s="27"/>
      <c r="FJ32" s="27"/>
      <c r="FK32" s="27"/>
      <c r="FL32" s="27"/>
      <c r="FM32" s="27"/>
      <c r="FN32" s="27"/>
      <c r="FO32" s="27"/>
      <c r="FP32" s="27"/>
      <c r="FQ32" s="27"/>
      <c r="FR32" s="27"/>
      <c r="FS32" s="27"/>
      <c r="FT32" s="27"/>
      <c r="FU32" s="27"/>
      <c r="FV32" s="27"/>
      <c r="FW32" s="27"/>
      <c r="FX32" s="27"/>
      <c r="FY32" s="27"/>
      <c r="FZ32" s="27"/>
      <c r="GC32" s="95">
        <v>1</v>
      </c>
    </row>
    <row r="33" spans="1:185" s="2" customFormat="1" ht="21.6" customHeight="1" thickBot="1" x14ac:dyDescent="0.35">
      <c r="A33" s="40"/>
      <c r="B33" s="48" t="s">
        <v>67</v>
      </c>
      <c r="C33" s="20">
        <v>0</v>
      </c>
      <c r="D33" s="63"/>
      <c r="E33" s="63"/>
      <c r="F33" s="27"/>
      <c r="G33" s="27"/>
      <c r="H33" s="27"/>
      <c r="I33" s="27"/>
      <c r="J33" s="27"/>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c r="DD33" s="27"/>
      <c r="DE33" s="27"/>
      <c r="DF33" s="27"/>
      <c r="DG33" s="27"/>
      <c r="DH33" s="27"/>
      <c r="DI33" s="27"/>
      <c r="DJ33" s="27"/>
      <c r="DK33" s="27"/>
      <c r="DL33" s="27"/>
      <c r="DM33" s="27"/>
      <c r="DN33" s="27"/>
      <c r="DO33" s="27"/>
      <c r="DP33" s="27"/>
      <c r="DQ33" s="27"/>
      <c r="DR33" s="27"/>
      <c r="DS33" s="27"/>
      <c r="DT33" s="27"/>
      <c r="DU33" s="27"/>
      <c r="DV33" s="27"/>
      <c r="DW33" s="27"/>
      <c r="DX33" s="27"/>
      <c r="DY33" s="27"/>
      <c r="DZ33" s="27"/>
      <c r="EA33" s="27"/>
      <c r="EB33" s="27"/>
      <c r="EC33" s="27"/>
      <c r="ED33" s="27"/>
      <c r="EE33" s="27"/>
      <c r="EF33" s="27"/>
      <c r="EG33" s="27"/>
      <c r="EH33" s="27"/>
      <c r="EI33" s="27"/>
      <c r="EJ33" s="27"/>
      <c r="EK33" s="27"/>
      <c r="EL33" s="27"/>
      <c r="EM33" s="27"/>
      <c r="EN33" s="27"/>
      <c r="EO33" s="27"/>
      <c r="EP33" s="27"/>
      <c r="EQ33" s="27"/>
      <c r="ER33" s="27"/>
      <c r="ES33" s="27"/>
      <c r="ET33" s="27"/>
      <c r="EU33" s="27"/>
      <c r="EV33" s="27"/>
      <c r="EW33" s="27"/>
      <c r="EX33" s="27"/>
      <c r="EY33" s="27"/>
      <c r="EZ33" s="27"/>
      <c r="FA33" s="27"/>
      <c r="FB33" s="27"/>
      <c r="FC33" s="27"/>
      <c r="FD33" s="27"/>
      <c r="FE33" s="96"/>
      <c r="FF33" s="101"/>
      <c r="FG33" s="98"/>
      <c r="FH33" s="27"/>
      <c r="FI33" s="27"/>
      <c r="FJ33" s="27"/>
      <c r="FK33" s="27"/>
      <c r="FL33" s="27"/>
      <c r="FM33" s="27"/>
      <c r="FN33" s="27"/>
      <c r="FO33" s="27"/>
      <c r="FP33" s="27"/>
      <c r="FQ33" s="27"/>
      <c r="FR33" s="27"/>
      <c r="FS33" s="27"/>
      <c r="FT33" s="27"/>
      <c r="FU33" s="27"/>
      <c r="FV33" s="27"/>
      <c r="FW33" s="27"/>
      <c r="FX33" s="27"/>
      <c r="FY33" s="27"/>
      <c r="FZ33" s="27"/>
      <c r="GC33" s="95">
        <v>1</v>
      </c>
    </row>
    <row r="34" spans="1:185" s="2" customFormat="1" ht="21.6" customHeight="1" thickBot="1" x14ac:dyDescent="0.35">
      <c r="A34" s="40"/>
      <c r="B34" s="48" t="s">
        <v>68</v>
      </c>
      <c r="C34" s="20">
        <v>0.1</v>
      </c>
      <c r="D34" s="63">
        <v>45971</v>
      </c>
      <c r="E34" s="63">
        <v>45981</v>
      </c>
      <c r="F34" s="27"/>
      <c r="G34" s="27"/>
      <c r="H34" s="27"/>
      <c r="I34" s="27"/>
      <c r="J34" s="27"/>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c r="BM34" s="27"/>
      <c r="BN34" s="27"/>
      <c r="BO34" s="27"/>
      <c r="BP34" s="27"/>
      <c r="BQ34" s="27"/>
      <c r="BR34" s="27"/>
      <c r="BS34" s="27"/>
      <c r="BT34" s="27"/>
      <c r="BU34" s="27"/>
      <c r="BV34" s="27"/>
      <c r="BW34" s="27"/>
      <c r="BX34" s="27"/>
      <c r="BY34" s="27"/>
      <c r="BZ34" s="27"/>
      <c r="CA34" s="27"/>
      <c r="CB34" s="27"/>
      <c r="CC34" s="27"/>
      <c r="CD34" s="27"/>
      <c r="CE34" s="27"/>
      <c r="CF34" s="27"/>
      <c r="CG34" s="27"/>
      <c r="CH34" s="27"/>
      <c r="CI34" s="27"/>
      <c r="CJ34" s="27"/>
      <c r="CK34" s="27"/>
      <c r="CL34" s="27"/>
      <c r="CM34" s="27"/>
      <c r="CN34" s="27"/>
      <c r="CO34" s="27"/>
      <c r="CP34" s="27"/>
      <c r="CQ34" s="27"/>
      <c r="CR34" s="27"/>
      <c r="CS34" s="27"/>
      <c r="CT34" s="27"/>
      <c r="CU34" s="27"/>
      <c r="CV34" s="27"/>
      <c r="CW34" s="27"/>
      <c r="CX34" s="27"/>
      <c r="CY34" s="27"/>
      <c r="CZ34" s="27"/>
      <c r="DA34" s="27"/>
      <c r="DB34" s="27"/>
      <c r="DC34" s="27"/>
      <c r="DD34" s="27"/>
      <c r="DE34" s="27"/>
      <c r="DF34" s="27"/>
      <c r="DG34" s="27"/>
      <c r="DH34" s="27"/>
      <c r="DI34" s="27"/>
      <c r="DJ34" s="27"/>
      <c r="DK34" s="27"/>
      <c r="DL34" s="27"/>
      <c r="DM34" s="27"/>
      <c r="DN34" s="27"/>
      <c r="DO34" s="27"/>
      <c r="DP34" s="27"/>
      <c r="DQ34" s="27"/>
      <c r="DR34" s="27"/>
      <c r="DS34" s="27"/>
      <c r="DT34" s="27"/>
      <c r="DU34" s="27"/>
      <c r="DV34" s="27"/>
      <c r="DW34" s="27"/>
      <c r="DX34" s="27"/>
      <c r="DY34" s="27"/>
      <c r="DZ34" s="27"/>
      <c r="EA34" s="27"/>
      <c r="EB34" s="27"/>
      <c r="EC34" s="27"/>
      <c r="ED34" s="27"/>
      <c r="EE34" s="27"/>
      <c r="EF34" s="27"/>
      <c r="EG34" s="27"/>
      <c r="EH34" s="27"/>
      <c r="EI34" s="27"/>
      <c r="EJ34" s="27"/>
      <c r="EK34" s="27"/>
      <c r="EL34" s="27"/>
      <c r="EM34" s="27"/>
      <c r="EN34" s="27"/>
      <c r="EO34" s="27"/>
      <c r="EP34" s="27"/>
      <c r="EQ34" s="27"/>
      <c r="ER34" s="27"/>
      <c r="ES34" s="27"/>
      <c r="ET34" s="27"/>
      <c r="EU34" s="27"/>
      <c r="EV34" s="27"/>
      <c r="EW34" s="27"/>
      <c r="EX34" s="27"/>
      <c r="EY34" s="27"/>
      <c r="EZ34" s="27"/>
      <c r="FA34" s="27"/>
      <c r="FB34" s="27"/>
      <c r="FC34" s="27"/>
      <c r="FD34" s="27"/>
      <c r="FE34" s="96"/>
      <c r="FF34" s="101"/>
      <c r="FG34" s="98"/>
      <c r="FH34" s="27"/>
      <c r="FI34" s="27"/>
      <c r="FJ34" s="27"/>
      <c r="FK34" s="27"/>
      <c r="FL34" s="27"/>
      <c r="FM34" s="27"/>
      <c r="FN34" s="27"/>
      <c r="FO34" s="27"/>
      <c r="FP34" s="27"/>
      <c r="FQ34" s="27"/>
      <c r="FR34" s="27"/>
      <c r="FS34" s="27"/>
      <c r="FT34" s="27"/>
      <c r="FU34" s="27"/>
      <c r="FV34" s="27"/>
      <c r="FW34" s="27"/>
      <c r="FX34" s="27"/>
      <c r="FY34" s="27"/>
      <c r="FZ34" s="27"/>
      <c r="GC34" s="95">
        <v>1</v>
      </c>
    </row>
    <row r="35" spans="1:185" s="2" customFormat="1" ht="21.6" customHeight="1" thickBot="1" x14ac:dyDescent="0.35">
      <c r="A35" s="40"/>
      <c r="B35" s="48" t="s">
        <v>69</v>
      </c>
      <c r="C35" s="20">
        <v>0</v>
      </c>
      <c r="D35" s="63">
        <v>45978</v>
      </c>
      <c r="E35" s="63">
        <v>45991</v>
      </c>
      <c r="F35" s="27"/>
      <c r="G35" s="27"/>
      <c r="H35" s="27"/>
      <c r="I35" s="27"/>
      <c r="J35" s="27"/>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c r="CY35" s="27"/>
      <c r="CZ35" s="27"/>
      <c r="DA35" s="27"/>
      <c r="DB35" s="27"/>
      <c r="DC35" s="27"/>
      <c r="DD35" s="27"/>
      <c r="DE35" s="27"/>
      <c r="DF35" s="27"/>
      <c r="DG35" s="27"/>
      <c r="DH35" s="27"/>
      <c r="DI35" s="27"/>
      <c r="DJ35" s="27"/>
      <c r="DK35" s="27"/>
      <c r="DL35" s="27"/>
      <c r="DM35" s="27"/>
      <c r="DN35" s="27"/>
      <c r="DO35" s="27"/>
      <c r="DP35" s="27"/>
      <c r="DQ35" s="27"/>
      <c r="DR35" s="27"/>
      <c r="DS35" s="27"/>
      <c r="DT35" s="27"/>
      <c r="DU35" s="27"/>
      <c r="DV35" s="27"/>
      <c r="DW35" s="27"/>
      <c r="DX35" s="27"/>
      <c r="DY35" s="27"/>
      <c r="DZ35" s="27"/>
      <c r="EA35" s="27"/>
      <c r="EB35" s="27"/>
      <c r="EC35" s="27"/>
      <c r="ED35" s="27"/>
      <c r="EE35" s="27"/>
      <c r="EF35" s="27"/>
      <c r="EG35" s="27"/>
      <c r="EH35" s="27"/>
      <c r="EI35" s="27"/>
      <c r="EJ35" s="27"/>
      <c r="EK35" s="27"/>
      <c r="EL35" s="27"/>
      <c r="EM35" s="27"/>
      <c r="EN35" s="27"/>
      <c r="EO35" s="27"/>
      <c r="EP35" s="27"/>
      <c r="EQ35" s="27"/>
      <c r="ER35" s="27"/>
      <c r="ES35" s="27"/>
      <c r="ET35" s="27"/>
      <c r="EU35" s="27"/>
      <c r="EV35" s="27"/>
      <c r="EW35" s="27"/>
      <c r="EX35" s="27"/>
      <c r="EY35" s="27"/>
      <c r="EZ35" s="27"/>
      <c r="FA35" s="27"/>
      <c r="FB35" s="27"/>
      <c r="FC35" s="27"/>
      <c r="FD35" s="27"/>
      <c r="FE35" s="96"/>
      <c r="FF35" s="101"/>
      <c r="FG35" s="98"/>
      <c r="FH35" s="27"/>
      <c r="FI35" s="27"/>
      <c r="FJ35" s="27"/>
      <c r="FK35" s="27"/>
      <c r="FL35" s="27"/>
      <c r="FM35" s="27"/>
      <c r="FN35" s="27"/>
      <c r="FO35" s="27"/>
      <c r="FP35" s="27"/>
      <c r="FQ35" s="27"/>
      <c r="FR35" s="27"/>
      <c r="FS35" s="27"/>
      <c r="FT35" s="27"/>
      <c r="FU35" s="27"/>
      <c r="FV35" s="27"/>
      <c r="FW35" s="27"/>
      <c r="FX35" s="27"/>
      <c r="FY35" s="27"/>
      <c r="FZ35" s="27"/>
      <c r="GC35" s="95">
        <v>1</v>
      </c>
    </row>
    <row r="36" spans="1:185" s="2" customFormat="1" ht="21.6" customHeight="1" thickBot="1" x14ac:dyDescent="0.35">
      <c r="A36" s="40"/>
      <c r="B36" s="48"/>
      <c r="C36" s="20"/>
      <c r="D36" s="63"/>
      <c r="E36" s="63"/>
      <c r="F36" s="27"/>
      <c r="G36" s="27"/>
      <c r="H36" s="27"/>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27"/>
      <c r="BP36" s="27"/>
      <c r="BQ36" s="27"/>
      <c r="BR36" s="27"/>
      <c r="BS36" s="27"/>
      <c r="BT36" s="27"/>
      <c r="BU36" s="27"/>
      <c r="BV36" s="27"/>
      <c r="BW36" s="27"/>
      <c r="BX36" s="27"/>
      <c r="BY36" s="27"/>
      <c r="BZ36" s="27"/>
      <c r="CA36" s="27"/>
      <c r="CB36" s="27"/>
      <c r="CC36" s="27"/>
      <c r="CD36" s="27"/>
      <c r="CE36" s="27"/>
      <c r="CF36" s="27"/>
      <c r="CG36" s="27"/>
      <c r="CH36" s="27"/>
      <c r="CI36" s="27"/>
      <c r="CJ36" s="27"/>
      <c r="CK36" s="27"/>
      <c r="CL36" s="27"/>
      <c r="CM36" s="27"/>
      <c r="CN36" s="27"/>
      <c r="CO36" s="27"/>
      <c r="CP36" s="27"/>
      <c r="CQ36" s="27"/>
      <c r="CR36" s="27"/>
      <c r="CS36" s="27"/>
      <c r="CT36" s="27"/>
      <c r="CU36" s="27"/>
      <c r="CV36" s="27"/>
      <c r="CW36" s="27"/>
      <c r="CX36" s="27"/>
      <c r="CY36" s="27"/>
      <c r="CZ36" s="27"/>
      <c r="DA36" s="27"/>
      <c r="DB36" s="27"/>
      <c r="DC36" s="27"/>
      <c r="DD36" s="27"/>
      <c r="DE36" s="27"/>
      <c r="DF36" s="27"/>
      <c r="DG36" s="27"/>
      <c r="DH36" s="27"/>
      <c r="DI36" s="27"/>
      <c r="DJ36" s="27"/>
      <c r="DK36" s="27"/>
      <c r="DL36" s="27"/>
      <c r="DM36" s="27"/>
      <c r="DN36" s="27"/>
      <c r="DO36" s="27"/>
      <c r="DP36" s="27"/>
      <c r="DQ36" s="27"/>
      <c r="DR36" s="27"/>
      <c r="DS36" s="27"/>
      <c r="DT36" s="27"/>
      <c r="DU36" s="27"/>
      <c r="DV36" s="27"/>
      <c r="DW36" s="27"/>
      <c r="DX36" s="27"/>
      <c r="DY36" s="27"/>
      <c r="DZ36" s="27"/>
      <c r="EA36" s="27"/>
      <c r="EB36" s="27"/>
      <c r="EC36" s="27"/>
      <c r="ED36" s="27"/>
      <c r="EE36" s="27"/>
      <c r="EF36" s="27"/>
      <c r="EG36" s="27"/>
      <c r="EH36" s="27"/>
      <c r="EI36" s="27"/>
      <c r="EJ36" s="27"/>
      <c r="EK36" s="27"/>
      <c r="EL36" s="27"/>
      <c r="EM36" s="27"/>
      <c r="EN36" s="27"/>
      <c r="EO36" s="27"/>
      <c r="EP36" s="27"/>
      <c r="EQ36" s="27"/>
      <c r="ER36" s="27"/>
      <c r="ES36" s="27"/>
      <c r="ET36" s="27"/>
      <c r="EU36" s="27"/>
      <c r="EV36" s="27"/>
      <c r="EW36" s="27"/>
      <c r="EX36" s="27"/>
      <c r="EY36" s="27"/>
      <c r="EZ36" s="27"/>
      <c r="FA36" s="27"/>
      <c r="FB36" s="27"/>
      <c r="FC36" s="27"/>
      <c r="FD36" s="27"/>
      <c r="FE36" s="96"/>
      <c r="FF36" s="101"/>
      <c r="FG36" s="98"/>
      <c r="FH36" s="27"/>
      <c r="FI36" s="27"/>
      <c r="FJ36" s="27"/>
      <c r="FK36" s="27"/>
      <c r="FL36" s="27"/>
      <c r="FM36" s="27"/>
      <c r="FN36" s="27"/>
      <c r="FO36" s="27"/>
      <c r="FP36" s="27"/>
      <c r="FQ36" s="27"/>
      <c r="FR36" s="27"/>
      <c r="FS36" s="27"/>
      <c r="FT36" s="27"/>
      <c r="FU36" s="27"/>
      <c r="FV36" s="27"/>
      <c r="FW36" s="27"/>
      <c r="FX36" s="27"/>
      <c r="FY36" s="27"/>
      <c r="FZ36" s="27"/>
      <c r="GC36" s="95">
        <v>1</v>
      </c>
    </row>
    <row r="37" spans="1:185" s="2" customFormat="1" ht="21.6" customHeight="1" thickBot="1" x14ac:dyDescent="0.35">
      <c r="A37" s="40"/>
      <c r="B37" s="21" t="s">
        <v>49</v>
      </c>
      <c r="C37" s="22"/>
      <c r="D37" s="64"/>
      <c r="E37" s="65"/>
      <c r="F37" s="27"/>
      <c r="G37" s="27"/>
      <c r="H37" s="27"/>
      <c r="I37" s="27"/>
      <c r="J37" s="27"/>
      <c r="K37" s="27"/>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c r="BO37" s="27"/>
      <c r="BP37" s="27"/>
      <c r="BQ37" s="27"/>
      <c r="BR37" s="27"/>
      <c r="BS37" s="27"/>
      <c r="BT37" s="27"/>
      <c r="BU37" s="27"/>
      <c r="BV37" s="27"/>
      <c r="BW37" s="27"/>
      <c r="BX37" s="27"/>
      <c r="BY37" s="27"/>
      <c r="BZ37" s="27"/>
      <c r="CA37" s="27"/>
      <c r="CB37" s="27"/>
      <c r="CC37" s="27"/>
      <c r="CD37" s="27"/>
      <c r="CE37" s="27"/>
      <c r="CF37" s="27"/>
      <c r="CG37" s="27"/>
      <c r="CH37" s="27"/>
      <c r="CI37" s="27"/>
      <c r="CJ37" s="27"/>
      <c r="CK37" s="27"/>
      <c r="CL37" s="27"/>
      <c r="CM37" s="27"/>
      <c r="CN37" s="27"/>
      <c r="CO37" s="27"/>
      <c r="CP37" s="27"/>
      <c r="CQ37" s="27"/>
      <c r="CR37" s="27"/>
      <c r="CS37" s="27"/>
      <c r="CT37" s="27"/>
      <c r="CU37" s="27"/>
      <c r="CV37" s="27"/>
      <c r="CW37" s="27"/>
      <c r="CX37" s="27"/>
      <c r="CY37" s="27"/>
      <c r="CZ37" s="27"/>
      <c r="DA37" s="27"/>
      <c r="DB37" s="27"/>
      <c r="DC37" s="27"/>
      <c r="DD37" s="27"/>
      <c r="DE37" s="27"/>
      <c r="DF37" s="27"/>
      <c r="DG37" s="27"/>
      <c r="DH37" s="27"/>
      <c r="DI37" s="27"/>
      <c r="DJ37" s="27"/>
      <c r="DK37" s="27"/>
      <c r="DL37" s="27"/>
      <c r="DM37" s="27"/>
      <c r="DN37" s="27"/>
      <c r="DO37" s="27"/>
      <c r="DP37" s="27"/>
      <c r="DQ37" s="27"/>
      <c r="DR37" s="27"/>
      <c r="DS37" s="27"/>
      <c r="DT37" s="27"/>
      <c r="DU37" s="27"/>
      <c r="DV37" s="27"/>
      <c r="DW37" s="27"/>
      <c r="DX37" s="27"/>
      <c r="DY37" s="27"/>
      <c r="DZ37" s="27"/>
      <c r="EA37" s="27"/>
      <c r="EB37" s="27"/>
      <c r="EC37" s="27"/>
      <c r="ED37" s="27"/>
      <c r="EE37" s="27"/>
      <c r="EF37" s="27"/>
      <c r="EG37" s="27"/>
      <c r="EH37" s="27"/>
      <c r="EI37" s="27"/>
      <c r="EJ37" s="27"/>
      <c r="EK37" s="27"/>
      <c r="EL37" s="27"/>
      <c r="EM37" s="27"/>
      <c r="EN37" s="27"/>
      <c r="EO37" s="27"/>
      <c r="EP37" s="27"/>
      <c r="EQ37" s="27"/>
      <c r="ER37" s="27"/>
      <c r="ES37" s="27"/>
      <c r="ET37" s="27"/>
      <c r="EU37" s="27"/>
      <c r="EV37" s="27"/>
      <c r="EW37" s="27"/>
      <c r="EX37" s="27"/>
      <c r="EY37" s="27"/>
      <c r="EZ37" s="27"/>
      <c r="FA37" s="27"/>
      <c r="FB37" s="27"/>
      <c r="FC37" s="27"/>
      <c r="FD37" s="27"/>
      <c r="FE37" s="96"/>
      <c r="FF37" s="101"/>
      <c r="FG37" s="98"/>
      <c r="FH37" s="27"/>
      <c r="FI37" s="27"/>
      <c r="FJ37" s="27"/>
      <c r="FK37" s="27"/>
      <c r="FL37" s="27"/>
      <c r="FM37" s="27"/>
      <c r="FN37" s="27"/>
      <c r="FO37" s="27"/>
      <c r="FP37" s="27"/>
      <c r="FQ37" s="27"/>
      <c r="FR37" s="27"/>
      <c r="FS37" s="27"/>
      <c r="FT37" s="27"/>
      <c r="FU37" s="27"/>
      <c r="FV37" s="27"/>
      <c r="FW37" s="27"/>
      <c r="FX37" s="27"/>
      <c r="FY37" s="27"/>
      <c r="FZ37" s="27"/>
      <c r="GC37" s="95">
        <v>1</v>
      </c>
    </row>
    <row r="38" spans="1:185" s="2" customFormat="1" ht="21.6" customHeight="1" thickBot="1" x14ac:dyDescent="0.35">
      <c r="A38" s="40"/>
      <c r="B38" s="49" t="s">
        <v>70</v>
      </c>
      <c r="C38" s="23">
        <v>0</v>
      </c>
      <c r="D38" s="66">
        <v>45978</v>
      </c>
      <c r="E38" s="66">
        <f>D38+4</f>
        <v>45982</v>
      </c>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c r="CY38" s="27"/>
      <c r="CZ38" s="27"/>
      <c r="DA38" s="27"/>
      <c r="DB38" s="27"/>
      <c r="DC38" s="27"/>
      <c r="DD38" s="27"/>
      <c r="DE38" s="27"/>
      <c r="DF38" s="27"/>
      <c r="DG38" s="27"/>
      <c r="DH38" s="27"/>
      <c r="DI38" s="27"/>
      <c r="DJ38" s="27"/>
      <c r="DK38" s="27"/>
      <c r="DL38" s="27"/>
      <c r="DM38" s="27"/>
      <c r="DN38" s="27"/>
      <c r="DO38" s="27"/>
      <c r="DP38" s="27"/>
      <c r="DQ38" s="27"/>
      <c r="DR38" s="27"/>
      <c r="DS38" s="27"/>
      <c r="DT38" s="27"/>
      <c r="DU38" s="27"/>
      <c r="DV38" s="27"/>
      <c r="DW38" s="27"/>
      <c r="DX38" s="27"/>
      <c r="DY38" s="27"/>
      <c r="DZ38" s="27"/>
      <c r="EA38" s="27"/>
      <c r="EB38" s="27"/>
      <c r="EC38" s="27"/>
      <c r="ED38" s="27"/>
      <c r="EE38" s="27"/>
      <c r="EF38" s="27"/>
      <c r="EG38" s="27"/>
      <c r="EH38" s="27"/>
      <c r="EI38" s="27"/>
      <c r="EJ38" s="27"/>
      <c r="EK38" s="27"/>
      <c r="EL38" s="27"/>
      <c r="EM38" s="27"/>
      <c r="EN38" s="27"/>
      <c r="EO38" s="27"/>
      <c r="EP38" s="27"/>
      <c r="EQ38" s="27"/>
      <c r="ER38" s="27"/>
      <c r="ES38" s="27"/>
      <c r="ET38" s="27"/>
      <c r="EU38" s="27"/>
      <c r="EV38" s="27"/>
      <c r="EW38" s="27"/>
      <c r="EX38" s="27"/>
      <c r="EY38" s="27"/>
      <c r="EZ38" s="27"/>
      <c r="FA38" s="27"/>
      <c r="FB38" s="27"/>
      <c r="FC38" s="27"/>
      <c r="FD38" s="27"/>
      <c r="FE38" s="96"/>
      <c r="FF38" s="101"/>
      <c r="FG38" s="98"/>
      <c r="FH38" s="27"/>
      <c r="FI38" s="27"/>
      <c r="FJ38" s="27"/>
      <c r="FK38" s="27"/>
      <c r="FL38" s="27"/>
      <c r="FM38" s="27"/>
      <c r="FN38" s="27"/>
      <c r="FO38" s="27"/>
      <c r="FP38" s="27"/>
      <c r="FQ38" s="27"/>
      <c r="FR38" s="27"/>
      <c r="FS38" s="27"/>
      <c r="FT38" s="27"/>
      <c r="FU38" s="27"/>
      <c r="FV38" s="27"/>
      <c r="FW38" s="27"/>
      <c r="FX38" s="27"/>
      <c r="FY38" s="27"/>
      <c r="FZ38" s="27"/>
      <c r="GC38" s="95">
        <v>1</v>
      </c>
    </row>
    <row r="39" spans="1:185" s="2" customFormat="1" ht="21.6" customHeight="1" thickBot="1" x14ac:dyDescent="0.35">
      <c r="A39" s="40"/>
      <c r="B39" s="49" t="s">
        <v>72</v>
      </c>
      <c r="C39" s="23">
        <v>0</v>
      </c>
      <c r="D39" s="66"/>
      <c r="E39" s="66"/>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c r="BM39" s="27"/>
      <c r="BN39" s="27"/>
      <c r="BO39" s="27"/>
      <c r="BP39" s="27"/>
      <c r="BQ39" s="27"/>
      <c r="BR39" s="27"/>
      <c r="BS39" s="27"/>
      <c r="BT39" s="27"/>
      <c r="BU39" s="27"/>
      <c r="BV39" s="27"/>
      <c r="BW39" s="27"/>
      <c r="BX39" s="27"/>
      <c r="BY39" s="27"/>
      <c r="BZ39" s="27"/>
      <c r="CA39" s="27"/>
      <c r="CB39" s="27"/>
      <c r="CC39" s="27"/>
      <c r="CD39" s="27"/>
      <c r="CE39" s="27"/>
      <c r="CF39" s="27"/>
      <c r="CG39" s="27"/>
      <c r="CH39" s="27"/>
      <c r="CI39" s="27"/>
      <c r="CJ39" s="27"/>
      <c r="CK39" s="27"/>
      <c r="CL39" s="27"/>
      <c r="CM39" s="27"/>
      <c r="CN39" s="27"/>
      <c r="CO39" s="27"/>
      <c r="CP39" s="27"/>
      <c r="CQ39" s="27"/>
      <c r="CR39" s="27"/>
      <c r="CS39" s="27"/>
      <c r="CT39" s="27"/>
      <c r="CU39" s="27"/>
      <c r="CV39" s="27"/>
      <c r="CW39" s="27"/>
      <c r="CX39" s="27"/>
      <c r="CY39" s="27"/>
      <c r="CZ39" s="27"/>
      <c r="DA39" s="27"/>
      <c r="DB39" s="27"/>
      <c r="DC39" s="27"/>
      <c r="DD39" s="27"/>
      <c r="DE39" s="27"/>
      <c r="DF39" s="27"/>
      <c r="DG39" s="27"/>
      <c r="DH39" s="27"/>
      <c r="DI39" s="27"/>
      <c r="DJ39" s="27"/>
      <c r="DK39" s="27"/>
      <c r="DL39" s="27"/>
      <c r="DM39" s="27"/>
      <c r="DN39" s="27"/>
      <c r="DO39" s="27"/>
      <c r="DP39" s="27"/>
      <c r="DQ39" s="27"/>
      <c r="DR39" s="27"/>
      <c r="DS39" s="27"/>
      <c r="DT39" s="27"/>
      <c r="DU39" s="27"/>
      <c r="DV39" s="27"/>
      <c r="DW39" s="27"/>
      <c r="DX39" s="27"/>
      <c r="DY39" s="27"/>
      <c r="DZ39" s="27"/>
      <c r="EA39" s="27"/>
      <c r="EB39" s="27"/>
      <c r="EC39" s="27"/>
      <c r="ED39" s="27"/>
      <c r="EE39" s="27"/>
      <c r="EF39" s="27"/>
      <c r="EG39" s="27"/>
      <c r="EH39" s="27"/>
      <c r="EI39" s="27"/>
      <c r="EJ39" s="27"/>
      <c r="EK39" s="27"/>
      <c r="EL39" s="27"/>
      <c r="EM39" s="27"/>
      <c r="EN39" s="27"/>
      <c r="EO39" s="27"/>
      <c r="EP39" s="27"/>
      <c r="EQ39" s="27"/>
      <c r="ER39" s="27"/>
      <c r="ES39" s="27"/>
      <c r="ET39" s="27"/>
      <c r="EU39" s="27"/>
      <c r="EV39" s="27"/>
      <c r="EW39" s="27"/>
      <c r="EX39" s="27"/>
      <c r="EY39" s="27"/>
      <c r="EZ39" s="27"/>
      <c r="FA39" s="27"/>
      <c r="FB39" s="27"/>
      <c r="FC39" s="27"/>
      <c r="FD39" s="27"/>
      <c r="FE39" s="96"/>
      <c r="FF39" s="101"/>
      <c r="FG39" s="98"/>
      <c r="FH39" s="27"/>
      <c r="FI39" s="27"/>
      <c r="FJ39" s="27"/>
      <c r="FK39" s="27"/>
      <c r="FL39" s="27"/>
      <c r="FM39" s="27"/>
      <c r="FN39" s="27"/>
      <c r="FO39" s="27"/>
      <c r="FP39" s="27"/>
      <c r="FQ39" s="27"/>
      <c r="FR39" s="27"/>
      <c r="FS39" s="27"/>
      <c r="FT39" s="27"/>
      <c r="FU39" s="27"/>
      <c r="FV39" s="27"/>
      <c r="FW39" s="27"/>
      <c r="FX39" s="27"/>
      <c r="FY39" s="27"/>
      <c r="FZ39" s="27"/>
      <c r="GC39" s="95">
        <v>1</v>
      </c>
    </row>
    <row r="40" spans="1:185" s="2" customFormat="1" ht="21.6" customHeight="1" thickBot="1" x14ac:dyDescent="0.35">
      <c r="A40" s="40"/>
      <c r="B40" s="49" t="s">
        <v>78</v>
      </c>
      <c r="C40" s="23">
        <v>0.4</v>
      </c>
      <c r="D40" s="66">
        <v>45901</v>
      </c>
      <c r="E40" s="66">
        <v>46055</v>
      </c>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c r="BM40" s="27"/>
      <c r="BN40" s="27"/>
      <c r="BO40" s="27"/>
      <c r="BP40" s="27"/>
      <c r="BQ40" s="27"/>
      <c r="BR40" s="27"/>
      <c r="BS40" s="27"/>
      <c r="BT40" s="27"/>
      <c r="BU40" s="27"/>
      <c r="BV40" s="27"/>
      <c r="BW40" s="27"/>
      <c r="BX40" s="27"/>
      <c r="BY40" s="27"/>
      <c r="BZ40" s="27"/>
      <c r="CA40" s="27"/>
      <c r="CB40" s="27"/>
      <c r="CC40" s="27"/>
      <c r="CD40" s="27"/>
      <c r="CE40" s="27"/>
      <c r="CF40" s="27"/>
      <c r="CG40" s="27"/>
      <c r="CH40" s="27"/>
      <c r="CI40" s="27"/>
      <c r="CJ40" s="27"/>
      <c r="CK40" s="27"/>
      <c r="CL40" s="27"/>
      <c r="CM40" s="27"/>
      <c r="CN40" s="27"/>
      <c r="CO40" s="27"/>
      <c r="CP40" s="27"/>
      <c r="CQ40" s="27"/>
      <c r="CR40" s="27"/>
      <c r="CS40" s="27"/>
      <c r="CT40" s="27"/>
      <c r="CU40" s="27"/>
      <c r="CV40" s="27"/>
      <c r="CW40" s="27"/>
      <c r="CX40" s="27"/>
      <c r="CY40" s="27"/>
      <c r="CZ40" s="27"/>
      <c r="DA40" s="27"/>
      <c r="DB40" s="27"/>
      <c r="DC40" s="27"/>
      <c r="DD40" s="27"/>
      <c r="DE40" s="27"/>
      <c r="DF40" s="27"/>
      <c r="DG40" s="27"/>
      <c r="DH40" s="27"/>
      <c r="DI40" s="27"/>
      <c r="DJ40" s="27"/>
      <c r="DK40" s="27"/>
      <c r="DL40" s="27"/>
      <c r="DM40" s="27"/>
      <c r="DN40" s="27"/>
      <c r="DO40" s="27"/>
      <c r="DP40" s="27"/>
      <c r="DQ40" s="27"/>
      <c r="DR40" s="27"/>
      <c r="DS40" s="27"/>
      <c r="DT40" s="27"/>
      <c r="DU40" s="27"/>
      <c r="DV40" s="27"/>
      <c r="DW40" s="27"/>
      <c r="DX40" s="27"/>
      <c r="DY40" s="27"/>
      <c r="DZ40" s="27"/>
      <c r="EA40" s="27"/>
      <c r="EB40" s="27"/>
      <c r="EC40" s="27"/>
      <c r="ED40" s="27"/>
      <c r="EE40" s="27"/>
      <c r="EF40" s="27"/>
      <c r="EG40" s="27"/>
      <c r="EH40" s="27"/>
      <c r="EI40" s="27"/>
      <c r="EJ40" s="27"/>
      <c r="EK40" s="27"/>
      <c r="EL40" s="27"/>
      <c r="EM40" s="27"/>
      <c r="EN40" s="27"/>
      <c r="EO40" s="27"/>
      <c r="EP40" s="27"/>
      <c r="EQ40" s="27"/>
      <c r="ER40" s="27"/>
      <c r="ES40" s="27"/>
      <c r="ET40" s="27"/>
      <c r="EU40" s="27"/>
      <c r="EV40" s="27"/>
      <c r="EW40" s="27"/>
      <c r="EX40" s="27"/>
      <c r="EY40" s="27"/>
      <c r="EZ40" s="27"/>
      <c r="FA40" s="27"/>
      <c r="FB40" s="27"/>
      <c r="FC40" s="27"/>
      <c r="FD40" s="27"/>
      <c r="FE40" s="96"/>
      <c r="FF40" s="101"/>
      <c r="FG40" s="98"/>
      <c r="FH40" s="27"/>
      <c r="FI40" s="27"/>
      <c r="FJ40" s="27"/>
      <c r="FK40" s="27"/>
      <c r="FL40" s="27"/>
      <c r="FM40" s="27"/>
      <c r="FN40" s="27"/>
      <c r="FO40" s="27"/>
      <c r="FP40" s="27"/>
      <c r="FQ40" s="27"/>
      <c r="FR40" s="27"/>
      <c r="FS40" s="27"/>
      <c r="FT40" s="27"/>
      <c r="FU40" s="27"/>
      <c r="FV40" s="27"/>
      <c r="FW40" s="27"/>
      <c r="FX40" s="27"/>
      <c r="FY40" s="27"/>
      <c r="FZ40" s="27"/>
      <c r="GC40" s="95">
        <v>1</v>
      </c>
    </row>
    <row r="41" spans="1:185" s="2" customFormat="1" ht="21.6" customHeight="1" thickBot="1" x14ac:dyDescent="0.35">
      <c r="A41" s="40"/>
      <c r="B41" s="49"/>
      <c r="C41" s="23"/>
      <c r="D41" s="66">
        <v>45901</v>
      </c>
      <c r="E41" s="66"/>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c r="CY41" s="27"/>
      <c r="CZ41" s="27"/>
      <c r="DA41" s="27"/>
      <c r="DB41" s="27"/>
      <c r="DC41" s="27"/>
      <c r="DD41" s="27"/>
      <c r="DE41" s="27"/>
      <c r="DF41" s="27"/>
      <c r="DG41" s="27"/>
      <c r="DH41" s="27"/>
      <c r="DI41" s="27"/>
      <c r="DJ41" s="27"/>
      <c r="DK41" s="27"/>
      <c r="DL41" s="27"/>
      <c r="DM41" s="27"/>
      <c r="DN41" s="27"/>
      <c r="DO41" s="27"/>
      <c r="DP41" s="27"/>
      <c r="DQ41" s="27"/>
      <c r="DR41" s="27"/>
      <c r="DS41" s="27"/>
      <c r="DT41" s="27"/>
      <c r="DU41" s="27"/>
      <c r="DV41" s="27"/>
      <c r="DW41" s="27"/>
      <c r="DX41" s="27"/>
      <c r="DY41" s="27"/>
      <c r="DZ41" s="27"/>
      <c r="EA41" s="27"/>
      <c r="EB41" s="27"/>
      <c r="EC41" s="27"/>
      <c r="ED41" s="27"/>
      <c r="EE41" s="27"/>
      <c r="EF41" s="27"/>
      <c r="EG41" s="27"/>
      <c r="EH41" s="27"/>
      <c r="EI41" s="27"/>
      <c r="EJ41" s="27"/>
      <c r="EK41" s="27"/>
      <c r="EL41" s="27"/>
      <c r="EM41" s="27"/>
      <c r="EN41" s="27"/>
      <c r="EO41" s="27"/>
      <c r="EP41" s="27"/>
      <c r="EQ41" s="27"/>
      <c r="ER41" s="27"/>
      <c r="ES41" s="27"/>
      <c r="ET41" s="27"/>
      <c r="EU41" s="27"/>
      <c r="EV41" s="27"/>
      <c r="EW41" s="27"/>
      <c r="EX41" s="27"/>
      <c r="EY41" s="27"/>
      <c r="EZ41" s="27"/>
      <c r="FA41" s="27"/>
      <c r="FB41" s="27"/>
      <c r="FC41" s="27"/>
      <c r="FD41" s="27"/>
      <c r="FE41" s="96"/>
      <c r="FF41" s="101"/>
      <c r="FG41" s="98"/>
      <c r="FH41" s="27"/>
      <c r="FI41" s="27"/>
      <c r="FJ41" s="27"/>
      <c r="FK41" s="27"/>
      <c r="FL41" s="27"/>
      <c r="FM41" s="27"/>
      <c r="FN41" s="27"/>
      <c r="FO41" s="27"/>
      <c r="FP41" s="27"/>
      <c r="FQ41" s="27"/>
      <c r="FR41" s="27"/>
      <c r="FS41" s="27"/>
      <c r="FT41" s="27"/>
      <c r="FU41" s="27"/>
      <c r="FV41" s="27"/>
      <c r="FW41" s="27"/>
      <c r="FX41" s="27"/>
      <c r="FY41" s="27"/>
      <c r="FZ41" s="27"/>
      <c r="GC41" s="95">
        <v>1</v>
      </c>
    </row>
    <row r="42" spans="1:185" s="2" customFormat="1" ht="21.6" customHeight="1" thickBot="1" x14ac:dyDescent="0.35">
      <c r="A42" s="40"/>
      <c r="B42" s="49"/>
      <c r="C42" s="23"/>
      <c r="D42" s="66"/>
      <c r="E42" s="66"/>
      <c r="F42" s="27"/>
      <c r="G42" s="27"/>
      <c r="H42" s="27"/>
      <c r="I42" s="27"/>
      <c r="J42" s="27"/>
      <c r="K42" s="2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c r="BM42" s="27"/>
      <c r="BN42" s="27"/>
      <c r="BO42" s="27"/>
      <c r="BP42" s="27"/>
      <c r="BQ42" s="27"/>
      <c r="BR42" s="27"/>
      <c r="BS42" s="27"/>
      <c r="BT42" s="27"/>
      <c r="BU42" s="27"/>
      <c r="BV42" s="27"/>
      <c r="BW42" s="27"/>
      <c r="BX42" s="27"/>
      <c r="BY42" s="27"/>
      <c r="BZ42" s="27"/>
      <c r="CA42" s="27"/>
      <c r="CB42" s="27"/>
      <c r="CC42" s="27"/>
      <c r="CD42" s="27"/>
      <c r="CE42" s="27"/>
      <c r="CF42" s="27"/>
      <c r="CG42" s="27"/>
      <c r="CH42" s="27"/>
      <c r="CI42" s="27"/>
      <c r="CJ42" s="27"/>
      <c r="CK42" s="27"/>
      <c r="CL42" s="27"/>
      <c r="CM42" s="27"/>
      <c r="CN42" s="27"/>
      <c r="CO42" s="27"/>
      <c r="CP42" s="27"/>
      <c r="CQ42" s="27"/>
      <c r="CR42" s="27"/>
      <c r="CS42" s="27"/>
      <c r="CT42" s="27"/>
      <c r="CU42" s="27"/>
      <c r="CV42" s="27"/>
      <c r="CW42" s="27"/>
      <c r="CX42" s="27"/>
      <c r="CY42" s="27"/>
      <c r="CZ42" s="27"/>
      <c r="DA42" s="27"/>
      <c r="DB42" s="27"/>
      <c r="DC42" s="27"/>
      <c r="DD42" s="27"/>
      <c r="DE42" s="27"/>
      <c r="DF42" s="27"/>
      <c r="DG42" s="27"/>
      <c r="DH42" s="27"/>
      <c r="DI42" s="27"/>
      <c r="DJ42" s="27"/>
      <c r="DK42" s="27"/>
      <c r="DL42" s="27"/>
      <c r="DM42" s="27"/>
      <c r="DN42" s="27"/>
      <c r="DO42" s="27"/>
      <c r="DP42" s="27"/>
      <c r="DQ42" s="27"/>
      <c r="DR42" s="27"/>
      <c r="DS42" s="27"/>
      <c r="DT42" s="27"/>
      <c r="DU42" s="27"/>
      <c r="DV42" s="27"/>
      <c r="DW42" s="27"/>
      <c r="DX42" s="27"/>
      <c r="DY42" s="27"/>
      <c r="DZ42" s="27"/>
      <c r="EA42" s="27"/>
      <c r="EB42" s="27"/>
      <c r="EC42" s="27"/>
      <c r="ED42" s="27"/>
      <c r="EE42" s="27"/>
      <c r="EF42" s="27"/>
      <c r="EG42" s="27"/>
      <c r="EH42" s="27"/>
      <c r="EI42" s="27"/>
      <c r="EJ42" s="27"/>
      <c r="EK42" s="27"/>
      <c r="EL42" s="27"/>
      <c r="EM42" s="27"/>
      <c r="EN42" s="27"/>
      <c r="EO42" s="27"/>
      <c r="EP42" s="27"/>
      <c r="EQ42" s="27"/>
      <c r="ER42" s="27"/>
      <c r="ES42" s="27"/>
      <c r="ET42" s="27"/>
      <c r="EU42" s="27"/>
      <c r="EV42" s="27"/>
      <c r="EW42" s="27"/>
      <c r="EX42" s="27"/>
      <c r="EY42" s="27"/>
      <c r="EZ42" s="27"/>
      <c r="FA42" s="27"/>
      <c r="FB42" s="27"/>
      <c r="FC42" s="27"/>
      <c r="FD42" s="27"/>
      <c r="FE42" s="96"/>
      <c r="FF42" s="101"/>
      <c r="FG42" s="98"/>
      <c r="FH42" s="27"/>
      <c r="FI42" s="27"/>
      <c r="FJ42" s="27"/>
      <c r="FK42" s="27"/>
      <c r="FL42" s="27"/>
      <c r="FM42" s="27"/>
      <c r="FN42" s="27"/>
      <c r="FO42" s="27"/>
      <c r="FP42" s="27"/>
      <c r="FQ42" s="27"/>
      <c r="FR42" s="27"/>
      <c r="FS42" s="27"/>
      <c r="FT42" s="27"/>
      <c r="FU42" s="27"/>
      <c r="FV42" s="27"/>
      <c r="FW42" s="27"/>
      <c r="FX42" s="27"/>
      <c r="FY42" s="27"/>
      <c r="FZ42" s="27"/>
      <c r="GC42" s="95">
        <v>1</v>
      </c>
    </row>
    <row r="43" spans="1:185" s="2" customFormat="1" ht="21.6" customHeight="1" thickBot="1" x14ac:dyDescent="0.35">
      <c r="A43" s="40"/>
      <c r="B43" s="49"/>
      <c r="C43" s="23"/>
      <c r="D43" s="66"/>
      <c r="E43" s="66"/>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c r="BM43" s="27"/>
      <c r="BN43" s="27"/>
      <c r="BO43" s="27"/>
      <c r="BP43" s="27"/>
      <c r="BQ43" s="27"/>
      <c r="BR43" s="27"/>
      <c r="BS43" s="27"/>
      <c r="BT43" s="27"/>
      <c r="BU43" s="27"/>
      <c r="BV43" s="27"/>
      <c r="BW43" s="27"/>
      <c r="BX43" s="27"/>
      <c r="BY43" s="27"/>
      <c r="BZ43" s="27"/>
      <c r="CA43" s="27"/>
      <c r="CB43" s="27"/>
      <c r="CC43" s="27"/>
      <c r="CD43" s="27"/>
      <c r="CE43" s="27"/>
      <c r="CF43" s="27"/>
      <c r="CG43" s="27"/>
      <c r="CH43" s="27"/>
      <c r="CI43" s="27"/>
      <c r="CJ43" s="27"/>
      <c r="CK43" s="27"/>
      <c r="CL43" s="27"/>
      <c r="CM43" s="27"/>
      <c r="CN43" s="27"/>
      <c r="CO43" s="27"/>
      <c r="CP43" s="27"/>
      <c r="CQ43" s="27"/>
      <c r="CR43" s="27"/>
      <c r="CS43" s="27"/>
      <c r="CT43" s="27"/>
      <c r="CU43" s="27"/>
      <c r="CV43" s="27"/>
      <c r="CW43" s="27"/>
      <c r="CX43" s="27"/>
      <c r="CY43" s="27"/>
      <c r="CZ43" s="27"/>
      <c r="DA43" s="27"/>
      <c r="DB43" s="27"/>
      <c r="DC43" s="27"/>
      <c r="DD43" s="27"/>
      <c r="DE43" s="27"/>
      <c r="DF43" s="27"/>
      <c r="DG43" s="27"/>
      <c r="DH43" s="27"/>
      <c r="DI43" s="27"/>
      <c r="DJ43" s="27"/>
      <c r="DK43" s="27"/>
      <c r="DL43" s="27"/>
      <c r="DM43" s="27"/>
      <c r="DN43" s="27"/>
      <c r="DO43" s="27"/>
      <c r="DP43" s="27"/>
      <c r="DQ43" s="27"/>
      <c r="DR43" s="27"/>
      <c r="DS43" s="27"/>
      <c r="DT43" s="27"/>
      <c r="DU43" s="27"/>
      <c r="DV43" s="27"/>
      <c r="DW43" s="27"/>
      <c r="DX43" s="27"/>
      <c r="DY43" s="27"/>
      <c r="DZ43" s="27"/>
      <c r="EA43" s="27"/>
      <c r="EB43" s="27"/>
      <c r="EC43" s="27"/>
      <c r="ED43" s="27"/>
      <c r="EE43" s="27"/>
      <c r="EF43" s="27"/>
      <c r="EG43" s="27"/>
      <c r="EH43" s="27"/>
      <c r="EI43" s="27"/>
      <c r="EJ43" s="27"/>
      <c r="EK43" s="27"/>
      <c r="EL43" s="27"/>
      <c r="EM43" s="27"/>
      <c r="EN43" s="27"/>
      <c r="EO43" s="27"/>
      <c r="EP43" s="27"/>
      <c r="EQ43" s="27"/>
      <c r="ER43" s="27"/>
      <c r="ES43" s="27"/>
      <c r="ET43" s="27"/>
      <c r="EU43" s="27"/>
      <c r="EV43" s="27"/>
      <c r="EW43" s="27"/>
      <c r="EX43" s="27"/>
      <c r="EY43" s="27"/>
      <c r="EZ43" s="27"/>
      <c r="FA43" s="27"/>
      <c r="FB43" s="27"/>
      <c r="FC43" s="27"/>
      <c r="FD43" s="27"/>
      <c r="FE43" s="96"/>
      <c r="FF43" s="101"/>
      <c r="FG43" s="98"/>
      <c r="FH43" s="27"/>
      <c r="FI43" s="27"/>
      <c r="FJ43" s="27"/>
      <c r="FK43" s="27"/>
      <c r="FL43" s="27"/>
      <c r="FM43" s="27"/>
      <c r="FN43" s="27"/>
      <c r="FO43" s="27"/>
      <c r="FP43" s="27"/>
      <c r="FQ43" s="27"/>
      <c r="FR43" s="27"/>
      <c r="FS43" s="27"/>
      <c r="FT43" s="27"/>
      <c r="FU43" s="27"/>
      <c r="FV43" s="27"/>
      <c r="FW43" s="27"/>
      <c r="FX43" s="27"/>
      <c r="FY43" s="27"/>
      <c r="FZ43" s="27"/>
      <c r="GC43" s="95">
        <v>1</v>
      </c>
    </row>
    <row r="44" spans="1:185" s="2" customFormat="1" ht="21.6" customHeight="1" thickBot="1" x14ac:dyDescent="0.35">
      <c r="A44" s="40"/>
      <c r="B44" s="49"/>
      <c r="C44" s="23"/>
      <c r="D44" s="66"/>
      <c r="E44" s="66"/>
      <c r="F44" s="27"/>
      <c r="G44" s="27"/>
      <c r="H44" s="27"/>
      <c r="I44" s="27"/>
      <c r="J44" s="27"/>
      <c r="K44" s="2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c r="CY44" s="27"/>
      <c r="CZ44" s="27"/>
      <c r="DA44" s="27"/>
      <c r="DB44" s="27"/>
      <c r="DC44" s="27"/>
      <c r="DD44" s="27"/>
      <c r="DE44" s="27"/>
      <c r="DF44" s="27"/>
      <c r="DG44" s="27"/>
      <c r="DH44" s="27"/>
      <c r="DI44" s="27"/>
      <c r="DJ44" s="27"/>
      <c r="DK44" s="27"/>
      <c r="DL44" s="27"/>
      <c r="DM44" s="27"/>
      <c r="DN44" s="27"/>
      <c r="DO44" s="27"/>
      <c r="DP44" s="27"/>
      <c r="DQ44" s="27"/>
      <c r="DR44" s="27"/>
      <c r="DS44" s="27"/>
      <c r="DT44" s="27"/>
      <c r="DU44" s="27"/>
      <c r="DV44" s="27"/>
      <c r="DW44" s="27"/>
      <c r="DX44" s="27"/>
      <c r="DY44" s="27"/>
      <c r="DZ44" s="27"/>
      <c r="EA44" s="27"/>
      <c r="EB44" s="27"/>
      <c r="EC44" s="27"/>
      <c r="ED44" s="27"/>
      <c r="EE44" s="27"/>
      <c r="EF44" s="27"/>
      <c r="EG44" s="27"/>
      <c r="EH44" s="27"/>
      <c r="EI44" s="27"/>
      <c r="EJ44" s="27"/>
      <c r="EK44" s="27"/>
      <c r="EL44" s="27"/>
      <c r="EM44" s="27"/>
      <c r="EN44" s="27"/>
      <c r="EO44" s="27"/>
      <c r="EP44" s="27"/>
      <c r="EQ44" s="27"/>
      <c r="ER44" s="27"/>
      <c r="ES44" s="27"/>
      <c r="ET44" s="27"/>
      <c r="EU44" s="27"/>
      <c r="EV44" s="27"/>
      <c r="EW44" s="27"/>
      <c r="EX44" s="27"/>
      <c r="EY44" s="27"/>
      <c r="EZ44" s="27"/>
      <c r="FA44" s="27"/>
      <c r="FB44" s="27"/>
      <c r="FC44" s="27"/>
      <c r="FD44" s="27"/>
      <c r="FE44" s="96"/>
      <c r="FF44" s="101"/>
      <c r="FG44" s="98"/>
      <c r="FH44" s="27"/>
      <c r="FI44" s="27"/>
      <c r="FJ44" s="27"/>
      <c r="FK44" s="27"/>
      <c r="FL44" s="27"/>
      <c r="FM44" s="27"/>
      <c r="FN44" s="27"/>
      <c r="FO44" s="27"/>
      <c r="FP44" s="27"/>
      <c r="FQ44" s="27"/>
      <c r="FR44" s="27"/>
      <c r="FS44" s="27"/>
      <c r="FT44" s="27"/>
      <c r="FU44" s="27"/>
      <c r="FV44" s="27"/>
      <c r="FW44" s="27"/>
      <c r="FX44" s="27"/>
      <c r="FY44" s="27"/>
      <c r="FZ44" s="27"/>
      <c r="GC44" s="95">
        <v>1</v>
      </c>
    </row>
    <row r="45" spans="1:185" s="2" customFormat="1" ht="21.6" customHeight="1" thickBot="1" x14ac:dyDescent="0.35">
      <c r="A45" s="40"/>
      <c r="B45" s="49"/>
      <c r="C45" s="23"/>
      <c r="D45" s="66"/>
      <c r="E45" s="66"/>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c r="BM45" s="27"/>
      <c r="BN45" s="27"/>
      <c r="BO45" s="27"/>
      <c r="BP45" s="27"/>
      <c r="BQ45" s="27"/>
      <c r="BR45" s="27"/>
      <c r="BS45" s="27"/>
      <c r="BT45" s="27"/>
      <c r="BU45" s="27"/>
      <c r="BV45" s="27"/>
      <c r="BW45" s="27"/>
      <c r="BX45" s="27"/>
      <c r="BY45" s="27"/>
      <c r="BZ45" s="27"/>
      <c r="CA45" s="27"/>
      <c r="CB45" s="27"/>
      <c r="CC45" s="27"/>
      <c r="CD45" s="27"/>
      <c r="CE45" s="27"/>
      <c r="CF45" s="27"/>
      <c r="CG45" s="27"/>
      <c r="CH45" s="27"/>
      <c r="CI45" s="27"/>
      <c r="CJ45" s="27"/>
      <c r="CK45" s="27"/>
      <c r="CL45" s="27"/>
      <c r="CM45" s="27"/>
      <c r="CN45" s="27"/>
      <c r="CO45" s="27"/>
      <c r="CP45" s="27"/>
      <c r="CQ45" s="27"/>
      <c r="CR45" s="27"/>
      <c r="CS45" s="27"/>
      <c r="CT45" s="27"/>
      <c r="CU45" s="27"/>
      <c r="CV45" s="27"/>
      <c r="CW45" s="27"/>
      <c r="CX45" s="27"/>
      <c r="CY45" s="27"/>
      <c r="CZ45" s="27"/>
      <c r="DA45" s="27"/>
      <c r="DB45" s="27"/>
      <c r="DC45" s="27"/>
      <c r="DD45" s="27"/>
      <c r="DE45" s="27"/>
      <c r="DF45" s="27"/>
      <c r="DG45" s="27"/>
      <c r="DH45" s="27"/>
      <c r="DI45" s="27"/>
      <c r="DJ45" s="27"/>
      <c r="DK45" s="27"/>
      <c r="DL45" s="27"/>
      <c r="DM45" s="27"/>
      <c r="DN45" s="27"/>
      <c r="DO45" s="27"/>
      <c r="DP45" s="27"/>
      <c r="DQ45" s="27"/>
      <c r="DR45" s="27"/>
      <c r="DS45" s="27"/>
      <c r="DT45" s="27"/>
      <c r="DU45" s="27"/>
      <c r="DV45" s="27"/>
      <c r="DW45" s="27"/>
      <c r="DX45" s="27"/>
      <c r="DY45" s="27"/>
      <c r="DZ45" s="27"/>
      <c r="EA45" s="27"/>
      <c r="EB45" s="27"/>
      <c r="EC45" s="27"/>
      <c r="ED45" s="27"/>
      <c r="EE45" s="27"/>
      <c r="EF45" s="27"/>
      <c r="EG45" s="27"/>
      <c r="EH45" s="27"/>
      <c r="EI45" s="27"/>
      <c r="EJ45" s="27"/>
      <c r="EK45" s="27"/>
      <c r="EL45" s="27"/>
      <c r="EM45" s="27"/>
      <c r="EN45" s="27"/>
      <c r="EO45" s="27"/>
      <c r="EP45" s="27"/>
      <c r="EQ45" s="27"/>
      <c r="ER45" s="27"/>
      <c r="ES45" s="27"/>
      <c r="ET45" s="27"/>
      <c r="EU45" s="27"/>
      <c r="EV45" s="27"/>
      <c r="EW45" s="27"/>
      <c r="EX45" s="27"/>
      <c r="EY45" s="27"/>
      <c r="EZ45" s="27"/>
      <c r="FA45" s="27"/>
      <c r="FB45" s="27"/>
      <c r="FC45" s="27"/>
      <c r="FD45" s="27"/>
      <c r="FE45" s="96"/>
      <c r="FF45" s="101"/>
      <c r="FG45" s="98"/>
      <c r="FH45" s="27"/>
      <c r="FI45" s="27"/>
      <c r="FJ45" s="27"/>
      <c r="FK45" s="27"/>
      <c r="FL45" s="27"/>
      <c r="FM45" s="27"/>
      <c r="FN45" s="27"/>
      <c r="FO45" s="27"/>
      <c r="FP45" s="27"/>
      <c r="FQ45" s="27"/>
      <c r="FR45" s="27"/>
      <c r="FS45" s="27"/>
      <c r="FT45" s="27"/>
      <c r="FU45" s="27"/>
      <c r="FV45" s="27"/>
      <c r="FW45" s="27"/>
      <c r="FX45" s="27"/>
      <c r="FY45" s="27"/>
      <c r="FZ45" s="27"/>
      <c r="GC45" s="95">
        <v>1</v>
      </c>
    </row>
    <row r="46" spans="1:185" s="2" customFormat="1" ht="21.6" customHeight="1" thickBot="1" x14ac:dyDescent="0.35">
      <c r="A46" s="40"/>
      <c r="B46" s="49"/>
      <c r="C46" s="23"/>
      <c r="D46" s="66"/>
      <c r="E46" s="66"/>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c r="BM46" s="27"/>
      <c r="BN46" s="27"/>
      <c r="BO46" s="27"/>
      <c r="BP46" s="27"/>
      <c r="BQ46" s="27"/>
      <c r="BR46" s="27"/>
      <c r="BS46" s="27"/>
      <c r="BT46" s="27"/>
      <c r="BU46" s="27"/>
      <c r="BV46" s="27"/>
      <c r="BW46" s="27"/>
      <c r="BX46" s="27"/>
      <c r="BY46" s="27"/>
      <c r="BZ46" s="27"/>
      <c r="CA46" s="27"/>
      <c r="CB46" s="27"/>
      <c r="CC46" s="27"/>
      <c r="CD46" s="27"/>
      <c r="CE46" s="27"/>
      <c r="CF46" s="27"/>
      <c r="CG46" s="27"/>
      <c r="CH46" s="27"/>
      <c r="CI46" s="27"/>
      <c r="CJ46" s="27"/>
      <c r="CK46" s="27"/>
      <c r="CL46" s="27"/>
      <c r="CM46" s="27"/>
      <c r="CN46" s="27"/>
      <c r="CO46" s="27"/>
      <c r="CP46" s="27"/>
      <c r="CQ46" s="27"/>
      <c r="CR46" s="27"/>
      <c r="CS46" s="27"/>
      <c r="CT46" s="27"/>
      <c r="CU46" s="27"/>
      <c r="CV46" s="27"/>
      <c r="CW46" s="27"/>
      <c r="CX46" s="27"/>
      <c r="CY46" s="27"/>
      <c r="CZ46" s="27"/>
      <c r="DA46" s="27"/>
      <c r="DB46" s="27"/>
      <c r="DC46" s="27"/>
      <c r="DD46" s="27"/>
      <c r="DE46" s="27"/>
      <c r="DF46" s="27"/>
      <c r="DG46" s="27"/>
      <c r="DH46" s="27"/>
      <c r="DI46" s="27"/>
      <c r="DJ46" s="27"/>
      <c r="DK46" s="27"/>
      <c r="DL46" s="27"/>
      <c r="DM46" s="27"/>
      <c r="DN46" s="27"/>
      <c r="DO46" s="27"/>
      <c r="DP46" s="27"/>
      <c r="DQ46" s="27"/>
      <c r="DR46" s="27"/>
      <c r="DS46" s="27"/>
      <c r="DT46" s="27"/>
      <c r="DU46" s="27"/>
      <c r="DV46" s="27"/>
      <c r="DW46" s="27"/>
      <c r="DX46" s="27"/>
      <c r="DY46" s="27"/>
      <c r="DZ46" s="27"/>
      <c r="EA46" s="27"/>
      <c r="EB46" s="27"/>
      <c r="EC46" s="27"/>
      <c r="ED46" s="27"/>
      <c r="EE46" s="27"/>
      <c r="EF46" s="27"/>
      <c r="EG46" s="27"/>
      <c r="EH46" s="27"/>
      <c r="EI46" s="27"/>
      <c r="EJ46" s="27"/>
      <c r="EK46" s="27"/>
      <c r="EL46" s="27"/>
      <c r="EM46" s="27"/>
      <c r="EN46" s="27"/>
      <c r="EO46" s="27"/>
      <c r="EP46" s="27"/>
      <c r="EQ46" s="27"/>
      <c r="ER46" s="27"/>
      <c r="ES46" s="27"/>
      <c r="ET46" s="27"/>
      <c r="EU46" s="27"/>
      <c r="EV46" s="27"/>
      <c r="EW46" s="27"/>
      <c r="EX46" s="27"/>
      <c r="EY46" s="27"/>
      <c r="EZ46" s="27"/>
      <c r="FA46" s="27"/>
      <c r="FB46" s="27"/>
      <c r="FC46" s="27"/>
      <c r="FD46" s="27"/>
      <c r="FE46" s="96"/>
      <c r="FF46" s="101"/>
      <c r="FG46" s="98"/>
      <c r="FH46" s="27"/>
      <c r="FI46" s="27"/>
      <c r="FJ46" s="27"/>
      <c r="FK46" s="27"/>
      <c r="FL46" s="27"/>
      <c r="FM46" s="27"/>
      <c r="FN46" s="27"/>
      <c r="FO46" s="27"/>
      <c r="FP46" s="27"/>
      <c r="FQ46" s="27"/>
      <c r="FR46" s="27"/>
      <c r="FS46" s="27"/>
      <c r="FT46" s="27"/>
      <c r="FU46" s="27"/>
      <c r="FV46" s="27"/>
      <c r="FW46" s="27"/>
      <c r="FX46" s="27"/>
      <c r="FY46" s="27"/>
      <c r="FZ46" s="27"/>
      <c r="GC46" s="95">
        <v>1</v>
      </c>
    </row>
    <row r="47" spans="1:185" s="2" customFormat="1" ht="21.6" customHeight="1" thickBot="1" x14ac:dyDescent="0.35">
      <c r="A47" s="40"/>
      <c r="B47" s="87" t="s">
        <v>80</v>
      </c>
      <c r="C47" s="88"/>
      <c r="D47" s="89"/>
      <c r="E47" s="89"/>
      <c r="F47" s="27"/>
      <c r="G47" s="27"/>
      <c r="H47" s="27"/>
      <c r="I47" s="27"/>
      <c r="J47" s="27"/>
      <c r="K47" s="27"/>
      <c r="L47" s="27"/>
      <c r="M47" s="27"/>
      <c r="N47" s="27"/>
      <c r="O47" s="27"/>
      <c r="P47" s="27"/>
      <c r="Q47" s="27"/>
      <c r="R47" s="27"/>
      <c r="S47" s="27"/>
      <c r="T47" s="27"/>
      <c r="U47" s="27"/>
      <c r="V47" s="27"/>
      <c r="W47" s="27"/>
      <c r="X47" s="27"/>
      <c r="Y47" s="27"/>
      <c r="Z47" s="27"/>
      <c r="AA47" s="27"/>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c r="CY47" s="27"/>
      <c r="CZ47" s="27"/>
      <c r="DA47" s="27"/>
      <c r="DB47" s="27"/>
      <c r="DC47" s="27"/>
      <c r="DD47" s="27"/>
      <c r="DE47" s="27"/>
      <c r="DF47" s="27"/>
      <c r="DG47" s="27"/>
      <c r="DH47" s="27"/>
      <c r="DI47" s="27"/>
      <c r="DJ47" s="27"/>
      <c r="DK47" s="27"/>
      <c r="DL47" s="27"/>
      <c r="DM47" s="27"/>
      <c r="DN47" s="27"/>
      <c r="DO47" s="27"/>
      <c r="DP47" s="27"/>
      <c r="DQ47" s="27"/>
      <c r="DR47" s="27"/>
      <c r="DS47" s="27"/>
      <c r="DT47" s="27"/>
      <c r="DU47" s="27"/>
      <c r="DV47" s="27"/>
      <c r="DW47" s="27"/>
      <c r="DX47" s="27"/>
      <c r="DY47" s="27"/>
      <c r="DZ47" s="27"/>
      <c r="EA47" s="27"/>
      <c r="EB47" s="27"/>
      <c r="EC47" s="27"/>
      <c r="ED47" s="27"/>
      <c r="EE47" s="27"/>
      <c r="EF47" s="27"/>
      <c r="EG47" s="27"/>
      <c r="EH47" s="27"/>
      <c r="EI47" s="27"/>
      <c r="EJ47" s="27"/>
      <c r="EK47" s="27"/>
      <c r="EL47" s="27"/>
      <c r="EM47" s="27"/>
      <c r="EN47" s="27"/>
      <c r="EO47" s="27"/>
      <c r="EP47" s="27"/>
      <c r="EQ47" s="27"/>
      <c r="ER47" s="27"/>
      <c r="ES47" s="27"/>
      <c r="ET47" s="27"/>
      <c r="EU47" s="27"/>
      <c r="EV47" s="27"/>
      <c r="EW47" s="27"/>
      <c r="EX47" s="27"/>
      <c r="EY47" s="27"/>
      <c r="EZ47" s="27"/>
      <c r="FA47" s="27"/>
      <c r="FB47" s="27"/>
      <c r="FC47" s="27"/>
      <c r="FD47" s="27"/>
      <c r="FE47" s="96"/>
      <c r="FF47" s="101"/>
      <c r="FG47" s="98"/>
      <c r="FH47" s="27"/>
      <c r="FI47" s="27"/>
      <c r="FJ47" s="27"/>
      <c r="FK47" s="27"/>
      <c r="FL47" s="27"/>
      <c r="FM47" s="27"/>
      <c r="FN47" s="27"/>
      <c r="FO47" s="27"/>
      <c r="FP47" s="27"/>
      <c r="FQ47" s="27"/>
      <c r="FR47" s="27"/>
      <c r="FS47" s="27"/>
      <c r="FT47" s="27"/>
      <c r="FU47" s="27"/>
      <c r="FV47" s="27"/>
      <c r="FW47" s="27"/>
      <c r="FX47" s="27"/>
      <c r="FY47" s="27"/>
      <c r="FZ47" s="27"/>
      <c r="GC47" s="95">
        <v>1</v>
      </c>
    </row>
    <row r="48" spans="1:185" s="2" customFormat="1" ht="21.6" customHeight="1" thickBot="1" x14ac:dyDescent="0.35">
      <c r="A48" s="40"/>
      <c r="B48" s="47" t="s">
        <v>79</v>
      </c>
      <c r="C48" s="17">
        <v>1</v>
      </c>
      <c r="D48" s="60">
        <v>45901</v>
      </c>
      <c r="E48" s="60">
        <v>45901</v>
      </c>
      <c r="F48" s="27"/>
      <c r="G48" s="27"/>
      <c r="H48" s="27"/>
      <c r="I48" s="27"/>
      <c r="J48" s="27"/>
      <c r="K48" s="27"/>
      <c r="L48" s="27"/>
      <c r="M48" s="27"/>
      <c r="N48" s="27"/>
      <c r="O48" s="27"/>
      <c r="P48" s="27"/>
      <c r="Q48" s="27"/>
      <c r="R48" s="27"/>
      <c r="S48" s="27"/>
      <c r="T48" s="27"/>
      <c r="U48" s="27"/>
      <c r="V48" s="27"/>
      <c r="W48" s="27"/>
      <c r="X48" s="27"/>
      <c r="Y48" s="27"/>
      <c r="Z48" s="27"/>
      <c r="AA48" s="27"/>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c r="BM48" s="27"/>
      <c r="BN48" s="27"/>
      <c r="BO48" s="27"/>
      <c r="BP48" s="27"/>
      <c r="BQ48" s="27"/>
      <c r="BR48" s="27"/>
      <c r="BS48" s="27"/>
      <c r="BT48" s="27"/>
      <c r="BU48" s="27"/>
      <c r="BV48" s="27"/>
      <c r="BW48" s="27"/>
      <c r="BX48" s="27"/>
      <c r="BY48" s="27"/>
      <c r="BZ48" s="27"/>
      <c r="CA48" s="27"/>
      <c r="CB48" s="27"/>
      <c r="CC48" s="27"/>
      <c r="CD48" s="27"/>
      <c r="CE48" s="27"/>
      <c r="CF48" s="27"/>
      <c r="CG48" s="27"/>
      <c r="CH48" s="27"/>
      <c r="CI48" s="27"/>
      <c r="CJ48" s="27"/>
      <c r="CK48" s="27"/>
      <c r="CL48" s="27"/>
      <c r="CM48" s="27"/>
      <c r="CN48" s="27"/>
      <c r="CO48" s="27"/>
      <c r="CP48" s="27"/>
      <c r="CQ48" s="27"/>
      <c r="CR48" s="27"/>
      <c r="CS48" s="27"/>
      <c r="CT48" s="27"/>
      <c r="CU48" s="27"/>
      <c r="CV48" s="27"/>
      <c r="CW48" s="27"/>
      <c r="CX48" s="27"/>
      <c r="CY48" s="27"/>
      <c r="CZ48" s="27"/>
      <c r="DA48" s="27"/>
      <c r="DB48" s="27"/>
      <c r="DC48" s="27"/>
      <c r="DD48" s="27"/>
      <c r="DE48" s="27"/>
      <c r="DF48" s="27"/>
      <c r="DG48" s="27"/>
      <c r="DH48" s="27"/>
      <c r="DI48" s="27"/>
      <c r="DJ48" s="27"/>
      <c r="DK48" s="27"/>
      <c r="DL48" s="27"/>
      <c r="DM48" s="27"/>
      <c r="DN48" s="27"/>
      <c r="DO48" s="27"/>
      <c r="DP48" s="27"/>
      <c r="DQ48" s="27"/>
      <c r="DR48" s="27"/>
      <c r="DS48" s="27"/>
      <c r="DT48" s="27"/>
      <c r="DU48" s="27"/>
      <c r="DV48" s="27"/>
      <c r="DW48" s="27"/>
      <c r="DX48" s="27"/>
      <c r="DY48" s="27"/>
      <c r="DZ48" s="27"/>
      <c r="EA48" s="27"/>
      <c r="EB48" s="27"/>
      <c r="EC48" s="27"/>
      <c r="ED48" s="27"/>
      <c r="EE48" s="27"/>
      <c r="EF48" s="27"/>
      <c r="EG48" s="27"/>
      <c r="EH48" s="27"/>
      <c r="EI48" s="27"/>
      <c r="EJ48" s="27"/>
      <c r="EK48" s="27"/>
      <c r="EL48" s="27"/>
      <c r="EM48" s="27"/>
      <c r="EN48" s="27"/>
      <c r="EO48" s="27"/>
      <c r="EP48" s="27"/>
      <c r="EQ48" s="27"/>
      <c r="ER48" s="27"/>
      <c r="ES48" s="27"/>
      <c r="ET48" s="27"/>
      <c r="EU48" s="27"/>
      <c r="EV48" s="27"/>
      <c r="EW48" s="27"/>
      <c r="EX48" s="27"/>
      <c r="EY48" s="27"/>
      <c r="EZ48" s="27"/>
      <c r="FA48" s="27"/>
      <c r="FB48" s="27"/>
      <c r="FC48" s="27"/>
      <c r="FD48" s="27"/>
      <c r="FE48" s="96"/>
      <c r="FF48" s="101"/>
      <c r="FG48" s="98"/>
      <c r="FH48" s="27"/>
      <c r="FI48" s="27"/>
      <c r="FJ48" s="27"/>
      <c r="FK48" s="27"/>
      <c r="FL48" s="27"/>
      <c r="FM48" s="27"/>
      <c r="FN48" s="27"/>
      <c r="FO48" s="27"/>
      <c r="FP48" s="27"/>
      <c r="FQ48" s="27"/>
      <c r="FR48" s="27"/>
      <c r="FS48" s="27"/>
      <c r="FT48" s="27"/>
      <c r="FU48" s="27"/>
      <c r="FV48" s="27"/>
      <c r="FW48" s="27"/>
      <c r="FX48" s="27"/>
      <c r="FY48" s="27"/>
      <c r="FZ48" s="27"/>
      <c r="GC48" s="95">
        <v>1</v>
      </c>
    </row>
    <row r="49" spans="1:185" s="2" customFormat="1" ht="21.6" customHeight="1" thickBot="1" x14ac:dyDescent="0.35">
      <c r="A49" s="40"/>
      <c r="B49" s="47"/>
      <c r="C49" s="17"/>
      <c r="D49" s="60"/>
      <c r="E49" s="60"/>
      <c r="F49" s="27"/>
      <c r="G49" s="27"/>
      <c r="H49" s="27"/>
      <c r="I49" s="27"/>
      <c r="J49" s="27"/>
      <c r="K49" s="27"/>
      <c r="L49" s="27"/>
      <c r="M49" s="27"/>
      <c r="N49" s="27"/>
      <c r="O49" s="27"/>
      <c r="P49" s="27"/>
      <c r="Q49" s="27"/>
      <c r="R49" s="27"/>
      <c r="S49" s="27"/>
      <c r="T49" s="27"/>
      <c r="U49" s="27"/>
      <c r="V49" s="27"/>
      <c r="W49" s="27"/>
      <c r="X49" s="27"/>
      <c r="Y49" s="27"/>
      <c r="Z49" s="27"/>
      <c r="AA49" s="27"/>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c r="BM49" s="27"/>
      <c r="BN49" s="27"/>
      <c r="BO49" s="27"/>
      <c r="BP49" s="27"/>
      <c r="BQ49" s="27"/>
      <c r="BR49" s="27"/>
      <c r="BS49" s="27"/>
      <c r="BT49" s="27"/>
      <c r="BU49" s="27"/>
      <c r="BV49" s="27"/>
      <c r="BW49" s="27"/>
      <c r="BX49" s="27"/>
      <c r="BY49" s="27"/>
      <c r="BZ49" s="27"/>
      <c r="CA49" s="27"/>
      <c r="CB49" s="27"/>
      <c r="CC49" s="27"/>
      <c r="CD49" s="27"/>
      <c r="CE49" s="27"/>
      <c r="CF49" s="27"/>
      <c r="CG49" s="27"/>
      <c r="CH49" s="27"/>
      <c r="CI49" s="27"/>
      <c r="CJ49" s="27"/>
      <c r="CK49" s="27"/>
      <c r="CL49" s="27"/>
      <c r="CM49" s="27"/>
      <c r="CN49" s="27"/>
      <c r="CO49" s="27"/>
      <c r="CP49" s="27"/>
      <c r="CQ49" s="27"/>
      <c r="CR49" s="27"/>
      <c r="CS49" s="27"/>
      <c r="CT49" s="27"/>
      <c r="CU49" s="27"/>
      <c r="CV49" s="27"/>
      <c r="CW49" s="27"/>
      <c r="CX49" s="27"/>
      <c r="CY49" s="27"/>
      <c r="CZ49" s="27"/>
      <c r="DA49" s="27"/>
      <c r="DB49" s="27"/>
      <c r="DC49" s="27"/>
      <c r="DD49" s="27"/>
      <c r="DE49" s="27"/>
      <c r="DF49" s="27"/>
      <c r="DG49" s="27"/>
      <c r="DH49" s="27"/>
      <c r="DI49" s="27"/>
      <c r="DJ49" s="27"/>
      <c r="DK49" s="27"/>
      <c r="DL49" s="27"/>
      <c r="DM49" s="27"/>
      <c r="DN49" s="27"/>
      <c r="DO49" s="27"/>
      <c r="DP49" s="27"/>
      <c r="DQ49" s="27"/>
      <c r="DR49" s="27"/>
      <c r="DS49" s="27"/>
      <c r="DT49" s="27"/>
      <c r="DU49" s="27"/>
      <c r="DV49" s="27"/>
      <c r="DW49" s="27"/>
      <c r="DX49" s="27"/>
      <c r="DY49" s="27"/>
      <c r="DZ49" s="27"/>
      <c r="EA49" s="27"/>
      <c r="EB49" s="27"/>
      <c r="EC49" s="27"/>
      <c r="ED49" s="27"/>
      <c r="EE49" s="27"/>
      <c r="EF49" s="27"/>
      <c r="EG49" s="27"/>
      <c r="EH49" s="27"/>
      <c r="EI49" s="27"/>
      <c r="EJ49" s="27"/>
      <c r="EK49" s="27"/>
      <c r="EL49" s="27"/>
      <c r="EM49" s="27"/>
      <c r="EN49" s="27"/>
      <c r="EO49" s="27"/>
      <c r="EP49" s="27"/>
      <c r="EQ49" s="27"/>
      <c r="ER49" s="27"/>
      <c r="ES49" s="27"/>
      <c r="ET49" s="27"/>
      <c r="EU49" s="27"/>
      <c r="EV49" s="27"/>
      <c r="EW49" s="27"/>
      <c r="EX49" s="27"/>
      <c r="EY49" s="27"/>
      <c r="EZ49" s="27"/>
      <c r="FA49" s="27"/>
      <c r="FB49" s="27"/>
      <c r="FC49" s="27"/>
      <c r="FD49" s="27"/>
      <c r="FE49" s="96"/>
      <c r="FF49" s="101"/>
      <c r="FG49" s="98"/>
      <c r="FH49" s="27"/>
      <c r="FI49" s="27"/>
      <c r="FJ49" s="27"/>
      <c r="FK49" s="27"/>
      <c r="FL49" s="27"/>
      <c r="FM49" s="27"/>
      <c r="FN49" s="27"/>
      <c r="FO49" s="27"/>
      <c r="FP49" s="27"/>
      <c r="FQ49" s="27"/>
      <c r="FR49" s="27"/>
      <c r="FS49" s="27"/>
      <c r="FT49" s="27"/>
      <c r="FU49" s="27"/>
      <c r="FV49" s="27"/>
      <c r="FW49" s="27"/>
      <c r="FX49" s="27"/>
      <c r="FY49" s="27"/>
      <c r="FZ49" s="27"/>
      <c r="GC49" s="95">
        <v>1</v>
      </c>
    </row>
    <row r="50" spans="1:185" s="2" customFormat="1" ht="21.6" customHeight="1" thickBot="1" x14ac:dyDescent="0.35">
      <c r="A50" s="40"/>
      <c r="B50" s="47"/>
      <c r="C50" s="17"/>
      <c r="D50" s="60"/>
      <c r="E50" s="60"/>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c r="CY50" s="27"/>
      <c r="CZ50" s="27"/>
      <c r="DA50" s="27"/>
      <c r="DB50" s="27"/>
      <c r="DC50" s="27"/>
      <c r="DD50" s="27"/>
      <c r="DE50" s="27"/>
      <c r="DF50" s="27"/>
      <c r="DG50" s="27"/>
      <c r="DH50" s="27"/>
      <c r="DI50" s="27"/>
      <c r="DJ50" s="27"/>
      <c r="DK50" s="27"/>
      <c r="DL50" s="27"/>
      <c r="DM50" s="27"/>
      <c r="DN50" s="27"/>
      <c r="DO50" s="27"/>
      <c r="DP50" s="27"/>
      <c r="DQ50" s="27"/>
      <c r="DR50" s="27"/>
      <c r="DS50" s="27"/>
      <c r="DT50" s="27"/>
      <c r="DU50" s="27"/>
      <c r="DV50" s="27"/>
      <c r="DW50" s="27"/>
      <c r="DX50" s="27"/>
      <c r="DY50" s="27"/>
      <c r="DZ50" s="27"/>
      <c r="EA50" s="27"/>
      <c r="EB50" s="27"/>
      <c r="EC50" s="27"/>
      <c r="ED50" s="27"/>
      <c r="EE50" s="27"/>
      <c r="EF50" s="27"/>
      <c r="EG50" s="27"/>
      <c r="EH50" s="27"/>
      <c r="EI50" s="27"/>
      <c r="EJ50" s="27"/>
      <c r="EK50" s="27"/>
      <c r="EL50" s="27"/>
      <c r="EM50" s="27"/>
      <c r="EN50" s="27"/>
      <c r="EO50" s="27"/>
      <c r="EP50" s="27"/>
      <c r="EQ50" s="27"/>
      <c r="ER50" s="27"/>
      <c r="ES50" s="27"/>
      <c r="ET50" s="27"/>
      <c r="EU50" s="27"/>
      <c r="EV50" s="27"/>
      <c r="EW50" s="27"/>
      <c r="EX50" s="27"/>
      <c r="EY50" s="27"/>
      <c r="EZ50" s="27"/>
      <c r="FA50" s="27"/>
      <c r="FB50" s="27"/>
      <c r="FC50" s="27"/>
      <c r="FD50" s="27"/>
      <c r="FE50" s="96"/>
      <c r="FF50" s="101"/>
      <c r="FG50" s="98"/>
      <c r="FH50" s="27"/>
      <c r="FI50" s="27"/>
      <c r="FJ50" s="27"/>
      <c r="FK50" s="27"/>
      <c r="FL50" s="27"/>
      <c r="FM50" s="27"/>
      <c r="FN50" s="27"/>
      <c r="FO50" s="27"/>
      <c r="FP50" s="27"/>
      <c r="FQ50" s="27"/>
      <c r="FR50" s="27"/>
      <c r="FS50" s="27"/>
      <c r="FT50" s="27"/>
      <c r="FU50" s="27"/>
      <c r="FV50" s="27"/>
      <c r="FW50" s="27"/>
      <c r="FX50" s="27"/>
      <c r="FY50" s="27"/>
      <c r="FZ50" s="27"/>
      <c r="GC50" s="95">
        <v>1</v>
      </c>
    </row>
    <row r="51" spans="1:185" s="2" customFormat="1" ht="21.6" customHeight="1" thickBot="1" x14ac:dyDescent="0.35">
      <c r="A51" s="40"/>
      <c r="B51" s="47"/>
      <c r="C51" s="17"/>
      <c r="D51" s="60"/>
      <c r="E51" s="60"/>
      <c r="F51" s="27"/>
      <c r="G51" s="27"/>
      <c r="H51" s="27"/>
      <c r="I51" s="27"/>
      <c r="J51" s="27"/>
      <c r="K51" s="27"/>
      <c r="L51" s="27"/>
      <c r="M51" s="27"/>
      <c r="N51" s="27"/>
      <c r="O51" s="27"/>
      <c r="P51" s="27"/>
      <c r="Q51" s="27"/>
      <c r="R51" s="27"/>
      <c r="S51" s="27"/>
      <c r="T51" s="27"/>
      <c r="U51" s="27"/>
      <c r="V51" s="27"/>
      <c r="W51" s="27"/>
      <c r="X51" s="27"/>
      <c r="Y51" s="27"/>
      <c r="Z51" s="27"/>
      <c r="AA51" s="27"/>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c r="BM51" s="27"/>
      <c r="BN51" s="27"/>
      <c r="BO51" s="27"/>
      <c r="BP51" s="27"/>
      <c r="BQ51" s="27"/>
      <c r="BR51" s="27"/>
      <c r="BS51" s="27"/>
      <c r="BT51" s="27"/>
      <c r="BU51" s="27"/>
      <c r="BV51" s="27"/>
      <c r="BW51" s="27"/>
      <c r="BX51" s="27"/>
      <c r="BY51" s="27"/>
      <c r="BZ51" s="27"/>
      <c r="CA51" s="27"/>
      <c r="CB51" s="27"/>
      <c r="CC51" s="27"/>
      <c r="CD51" s="27"/>
      <c r="CE51" s="27"/>
      <c r="CF51" s="27"/>
      <c r="CG51" s="27"/>
      <c r="CH51" s="27"/>
      <c r="CI51" s="27"/>
      <c r="CJ51" s="27"/>
      <c r="CK51" s="27"/>
      <c r="CL51" s="27"/>
      <c r="CM51" s="27"/>
      <c r="CN51" s="27"/>
      <c r="CO51" s="27"/>
      <c r="CP51" s="27"/>
      <c r="CQ51" s="27"/>
      <c r="CR51" s="27"/>
      <c r="CS51" s="27"/>
      <c r="CT51" s="27"/>
      <c r="CU51" s="27"/>
      <c r="CV51" s="27"/>
      <c r="CW51" s="27"/>
      <c r="CX51" s="27"/>
      <c r="CY51" s="27"/>
      <c r="CZ51" s="27"/>
      <c r="DA51" s="27"/>
      <c r="DB51" s="27"/>
      <c r="DC51" s="27"/>
      <c r="DD51" s="27"/>
      <c r="DE51" s="27"/>
      <c r="DF51" s="27"/>
      <c r="DG51" s="27"/>
      <c r="DH51" s="27"/>
      <c r="DI51" s="27"/>
      <c r="DJ51" s="27"/>
      <c r="DK51" s="27"/>
      <c r="DL51" s="27"/>
      <c r="DM51" s="27"/>
      <c r="DN51" s="27"/>
      <c r="DO51" s="27"/>
      <c r="DP51" s="27"/>
      <c r="DQ51" s="27"/>
      <c r="DR51" s="27"/>
      <c r="DS51" s="27"/>
      <c r="DT51" s="27"/>
      <c r="DU51" s="27"/>
      <c r="DV51" s="27"/>
      <c r="DW51" s="27"/>
      <c r="DX51" s="27"/>
      <c r="DY51" s="27"/>
      <c r="DZ51" s="27"/>
      <c r="EA51" s="27"/>
      <c r="EB51" s="27"/>
      <c r="EC51" s="27"/>
      <c r="ED51" s="27"/>
      <c r="EE51" s="27"/>
      <c r="EF51" s="27"/>
      <c r="EG51" s="27"/>
      <c r="EH51" s="27"/>
      <c r="EI51" s="27"/>
      <c r="EJ51" s="27"/>
      <c r="EK51" s="27"/>
      <c r="EL51" s="27"/>
      <c r="EM51" s="27"/>
      <c r="EN51" s="27"/>
      <c r="EO51" s="27"/>
      <c r="EP51" s="27"/>
      <c r="EQ51" s="27"/>
      <c r="ER51" s="27"/>
      <c r="ES51" s="27"/>
      <c r="ET51" s="27"/>
      <c r="EU51" s="27"/>
      <c r="EV51" s="27"/>
      <c r="EW51" s="27"/>
      <c r="EX51" s="27"/>
      <c r="EY51" s="27"/>
      <c r="EZ51" s="27"/>
      <c r="FA51" s="27"/>
      <c r="FB51" s="27"/>
      <c r="FC51" s="27"/>
      <c r="FD51" s="27"/>
      <c r="FE51" s="96"/>
      <c r="FF51" s="101"/>
      <c r="FG51" s="98"/>
      <c r="FH51" s="27"/>
      <c r="FI51" s="27"/>
      <c r="FJ51" s="27"/>
      <c r="FK51" s="27"/>
      <c r="FL51" s="27"/>
      <c r="FM51" s="27"/>
      <c r="FN51" s="27"/>
      <c r="FO51" s="27"/>
      <c r="FP51" s="27"/>
      <c r="FQ51" s="27"/>
      <c r="FR51" s="27"/>
      <c r="FS51" s="27"/>
      <c r="FT51" s="27"/>
      <c r="FU51" s="27"/>
      <c r="FV51" s="27"/>
      <c r="FW51" s="27"/>
      <c r="FX51" s="27"/>
      <c r="FY51" s="27"/>
      <c r="FZ51" s="27"/>
      <c r="GC51" s="95">
        <v>1</v>
      </c>
    </row>
    <row r="52" spans="1:185" s="2" customFormat="1" ht="21.6" customHeight="1" thickBot="1" x14ac:dyDescent="0.35">
      <c r="A52" s="40"/>
      <c r="B52" s="47"/>
      <c r="C52" s="17"/>
      <c r="D52" s="60"/>
      <c r="E52" s="60"/>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c r="BM52" s="27"/>
      <c r="BN52" s="27"/>
      <c r="BO52" s="27"/>
      <c r="BP52" s="27"/>
      <c r="BQ52" s="27"/>
      <c r="BR52" s="27"/>
      <c r="BS52" s="27"/>
      <c r="BT52" s="27"/>
      <c r="BU52" s="27"/>
      <c r="BV52" s="27"/>
      <c r="BW52" s="27"/>
      <c r="BX52" s="27"/>
      <c r="BY52" s="27"/>
      <c r="BZ52" s="27"/>
      <c r="CA52" s="27"/>
      <c r="CB52" s="27"/>
      <c r="CC52" s="27"/>
      <c r="CD52" s="27"/>
      <c r="CE52" s="27"/>
      <c r="CF52" s="27"/>
      <c r="CG52" s="27"/>
      <c r="CH52" s="27"/>
      <c r="CI52" s="27"/>
      <c r="CJ52" s="27"/>
      <c r="CK52" s="27"/>
      <c r="CL52" s="27"/>
      <c r="CM52" s="27"/>
      <c r="CN52" s="27"/>
      <c r="CO52" s="27"/>
      <c r="CP52" s="27"/>
      <c r="CQ52" s="27"/>
      <c r="CR52" s="27"/>
      <c r="CS52" s="27"/>
      <c r="CT52" s="27"/>
      <c r="CU52" s="27"/>
      <c r="CV52" s="27"/>
      <c r="CW52" s="27"/>
      <c r="CX52" s="27"/>
      <c r="CY52" s="27"/>
      <c r="CZ52" s="27"/>
      <c r="DA52" s="27"/>
      <c r="DB52" s="27"/>
      <c r="DC52" s="27"/>
      <c r="DD52" s="27"/>
      <c r="DE52" s="27"/>
      <c r="DF52" s="27"/>
      <c r="DG52" s="27"/>
      <c r="DH52" s="27"/>
      <c r="DI52" s="27"/>
      <c r="DJ52" s="27"/>
      <c r="DK52" s="27"/>
      <c r="DL52" s="27"/>
      <c r="DM52" s="27"/>
      <c r="DN52" s="27"/>
      <c r="DO52" s="27"/>
      <c r="DP52" s="27"/>
      <c r="DQ52" s="27"/>
      <c r="DR52" s="27"/>
      <c r="DS52" s="27"/>
      <c r="DT52" s="27"/>
      <c r="DU52" s="27"/>
      <c r="DV52" s="27"/>
      <c r="DW52" s="27"/>
      <c r="DX52" s="27"/>
      <c r="DY52" s="27"/>
      <c r="DZ52" s="27"/>
      <c r="EA52" s="27"/>
      <c r="EB52" s="27"/>
      <c r="EC52" s="27"/>
      <c r="ED52" s="27"/>
      <c r="EE52" s="27"/>
      <c r="EF52" s="27"/>
      <c r="EG52" s="27"/>
      <c r="EH52" s="27"/>
      <c r="EI52" s="27"/>
      <c r="EJ52" s="27"/>
      <c r="EK52" s="27"/>
      <c r="EL52" s="27"/>
      <c r="EM52" s="27"/>
      <c r="EN52" s="27"/>
      <c r="EO52" s="27"/>
      <c r="EP52" s="27"/>
      <c r="EQ52" s="27"/>
      <c r="ER52" s="27"/>
      <c r="ES52" s="27"/>
      <c r="ET52" s="27"/>
      <c r="EU52" s="27"/>
      <c r="EV52" s="27"/>
      <c r="EW52" s="27"/>
      <c r="EX52" s="27"/>
      <c r="EY52" s="27"/>
      <c r="EZ52" s="27"/>
      <c r="FA52" s="27"/>
      <c r="FB52" s="27"/>
      <c r="FC52" s="27"/>
      <c r="FD52" s="27"/>
      <c r="FE52" s="96"/>
      <c r="FF52" s="101"/>
      <c r="FG52" s="98"/>
      <c r="FH52" s="27"/>
      <c r="FI52" s="27"/>
      <c r="FJ52" s="27"/>
      <c r="FK52" s="27"/>
      <c r="FL52" s="27"/>
      <c r="FM52" s="27"/>
      <c r="FN52" s="27"/>
      <c r="FO52" s="27"/>
      <c r="FP52" s="27"/>
      <c r="FQ52" s="27"/>
      <c r="FR52" s="27"/>
      <c r="FS52" s="27"/>
      <c r="FT52" s="27"/>
      <c r="FU52" s="27"/>
      <c r="FV52" s="27"/>
      <c r="FW52" s="27"/>
      <c r="FX52" s="27"/>
      <c r="FY52" s="27"/>
      <c r="FZ52" s="27"/>
      <c r="GC52" s="95">
        <v>1</v>
      </c>
    </row>
    <row r="53" spans="1:185" s="2" customFormat="1" ht="21.6" customHeight="1" thickBot="1" x14ac:dyDescent="0.35">
      <c r="A53" s="40"/>
      <c r="B53" s="47"/>
      <c r="C53" s="17"/>
      <c r="D53" s="60"/>
      <c r="E53" s="60"/>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c r="CY53" s="27"/>
      <c r="CZ53" s="27"/>
      <c r="DA53" s="27"/>
      <c r="DB53" s="27"/>
      <c r="DC53" s="27"/>
      <c r="DD53" s="27"/>
      <c r="DE53" s="27"/>
      <c r="DF53" s="27"/>
      <c r="DG53" s="27"/>
      <c r="DH53" s="27"/>
      <c r="DI53" s="27"/>
      <c r="DJ53" s="27"/>
      <c r="DK53" s="27"/>
      <c r="DL53" s="27"/>
      <c r="DM53" s="27"/>
      <c r="DN53" s="27"/>
      <c r="DO53" s="27"/>
      <c r="DP53" s="27"/>
      <c r="DQ53" s="27"/>
      <c r="DR53" s="27"/>
      <c r="DS53" s="27"/>
      <c r="DT53" s="27"/>
      <c r="DU53" s="27"/>
      <c r="DV53" s="27"/>
      <c r="DW53" s="27"/>
      <c r="DX53" s="27"/>
      <c r="DY53" s="27"/>
      <c r="DZ53" s="27"/>
      <c r="EA53" s="27"/>
      <c r="EB53" s="27"/>
      <c r="EC53" s="27"/>
      <c r="ED53" s="27"/>
      <c r="EE53" s="27"/>
      <c r="EF53" s="27"/>
      <c r="EG53" s="27"/>
      <c r="EH53" s="27"/>
      <c r="EI53" s="27"/>
      <c r="EJ53" s="27"/>
      <c r="EK53" s="27"/>
      <c r="EL53" s="27"/>
      <c r="EM53" s="27"/>
      <c r="EN53" s="27"/>
      <c r="EO53" s="27"/>
      <c r="EP53" s="27"/>
      <c r="EQ53" s="27"/>
      <c r="ER53" s="27"/>
      <c r="ES53" s="27"/>
      <c r="ET53" s="27"/>
      <c r="EU53" s="27"/>
      <c r="EV53" s="27"/>
      <c r="EW53" s="27"/>
      <c r="EX53" s="27"/>
      <c r="EY53" s="27"/>
      <c r="EZ53" s="27"/>
      <c r="FA53" s="27"/>
      <c r="FB53" s="27"/>
      <c r="FC53" s="27"/>
      <c r="FD53" s="27"/>
      <c r="FE53" s="96"/>
      <c r="FF53" s="101"/>
      <c r="FG53" s="98"/>
      <c r="FH53" s="27"/>
      <c r="FI53" s="27"/>
      <c r="FJ53" s="27"/>
      <c r="FK53" s="27"/>
      <c r="FL53" s="27"/>
      <c r="FM53" s="27"/>
      <c r="FN53" s="27"/>
      <c r="FO53" s="27"/>
      <c r="FP53" s="27"/>
      <c r="FQ53" s="27"/>
      <c r="FR53" s="27"/>
      <c r="FS53" s="27"/>
      <c r="FT53" s="27"/>
      <c r="FU53" s="27"/>
      <c r="FV53" s="27"/>
      <c r="FW53" s="27"/>
      <c r="FX53" s="27"/>
      <c r="FY53" s="27"/>
      <c r="FZ53" s="27"/>
      <c r="GC53" s="95">
        <v>1</v>
      </c>
    </row>
    <row r="54" spans="1:185" s="2" customFormat="1" ht="21.6" customHeight="1" thickBot="1" x14ac:dyDescent="0.35">
      <c r="A54" s="40"/>
      <c r="B54" s="47"/>
      <c r="C54" s="17"/>
      <c r="D54" s="60"/>
      <c r="E54" s="60"/>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c r="BM54" s="27"/>
      <c r="BN54" s="27"/>
      <c r="BO54" s="27"/>
      <c r="BP54" s="27"/>
      <c r="BQ54" s="27"/>
      <c r="BR54" s="27"/>
      <c r="BS54" s="27"/>
      <c r="BT54" s="27"/>
      <c r="BU54" s="27"/>
      <c r="BV54" s="27"/>
      <c r="BW54" s="27"/>
      <c r="BX54" s="27"/>
      <c r="BY54" s="27"/>
      <c r="BZ54" s="27"/>
      <c r="CA54" s="27"/>
      <c r="CB54" s="27"/>
      <c r="CC54" s="27"/>
      <c r="CD54" s="27"/>
      <c r="CE54" s="27"/>
      <c r="CF54" s="27"/>
      <c r="CG54" s="27"/>
      <c r="CH54" s="27"/>
      <c r="CI54" s="27"/>
      <c r="CJ54" s="27"/>
      <c r="CK54" s="27"/>
      <c r="CL54" s="27"/>
      <c r="CM54" s="27"/>
      <c r="CN54" s="27"/>
      <c r="CO54" s="27"/>
      <c r="CP54" s="27"/>
      <c r="CQ54" s="27"/>
      <c r="CR54" s="27"/>
      <c r="CS54" s="27"/>
      <c r="CT54" s="27"/>
      <c r="CU54" s="27"/>
      <c r="CV54" s="27"/>
      <c r="CW54" s="27"/>
      <c r="CX54" s="27"/>
      <c r="CY54" s="27"/>
      <c r="CZ54" s="27"/>
      <c r="DA54" s="27"/>
      <c r="DB54" s="27"/>
      <c r="DC54" s="27"/>
      <c r="DD54" s="27"/>
      <c r="DE54" s="27"/>
      <c r="DF54" s="27"/>
      <c r="DG54" s="27"/>
      <c r="DH54" s="27"/>
      <c r="DI54" s="27"/>
      <c r="DJ54" s="27"/>
      <c r="DK54" s="27"/>
      <c r="DL54" s="27"/>
      <c r="DM54" s="27"/>
      <c r="DN54" s="27"/>
      <c r="DO54" s="27"/>
      <c r="DP54" s="27"/>
      <c r="DQ54" s="27"/>
      <c r="DR54" s="27"/>
      <c r="DS54" s="27"/>
      <c r="DT54" s="27"/>
      <c r="DU54" s="27"/>
      <c r="DV54" s="27"/>
      <c r="DW54" s="27"/>
      <c r="DX54" s="27"/>
      <c r="DY54" s="27"/>
      <c r="DZ54" s="27"/>
      <c r="EA54" s="27"/>
      <c r="EB54" s="27"/>
      <c r="EC54" s="27"/>
      <c r="ED54" s="27"/>
      <c r="EE54" s="27"/>
      <c r="EF54" s="27"/>
      <c r="EG54" s="27"/>
      <c r="EH54" s="27"/>
      <c r="EI54" s="27"/>
      <c r="EJ54" s="27"/>
      <c r="EK54" s="27"/>
      <c r="EL54" s="27"/>
      <c r="EM54" s="27"/>
      <c r="EN54" s="27"/>
      <c r="EO54" s="27"/>
      <c r="EP54" s="27"/>
      <c r="EQ54" s="27"/>
      <c r="ER54" s="27"/>
      <c r="ES54" s="27"/>
      <c r="ET54" s="27"/>
      <c r="EU54" s="27"/>
      <c r="EV54" s="27"/>
      <c r="EW54" s="27"/>
      <c r="EX54" s="27"/>
      <c r="EY54" s="27"/>
      <c r="EZ54" s="27"/>
      <c r="FA54" s="27"/>
      <c r="FB54" s="27"/>
      <c r="FC54" s="27"/>
      <c r="FD54" s="27"/>
      <c r="FE54" s="96"/>
      <c r="FF54" s="101"/>
      <c r="FG54" s="98"/>
      <c r="FH54" s="27"/>
      <c r="FI54" s="27"/>
      <c r="FJ54" s="27"/>
      <c r="FK54" s="27"/>
      <c r="FL54" s="27"/>
      <c r="FM54" s="27"/>
      <c r="FN54" s="27"/>
      <c r="FO54" s="27"/>
      <c r="FP54" s="27"/>
      <c r="FQ54" s="27"/>
      <c r="FR54" s="27"/>
      <c r="FS54" s="27"/>
      <c r="FT54" s="27"/>
      <c r="FU54" s="27"/>
      <c r="FV54" s="27"/>
      <c r="FW54" s="27"/>
      <c r="FX54" s="27"/>
      <c r="FY54" s="27"/>
      <c r="FZ54" s="27"/>
      <c r="GC54" s="95">
        <v>1</v>
      </c>
    </row>
    <row r="55" spans="1:185" s="2" customFormat="1" ht="21.6" customHeight="1" thickBot="1" x14ac:dyDescent="0.35">
      <c r="A55" s="40"/>
      <c r="B55" s="47"/>
      <c r="C55" s="17"/>
      <c r="D55" s="60"/>
      <c r="E55" s="60"/>
      <c r="F55" s="27"/>
      <c r="G55" s="27"/>
      <c r="H55" s="27"/>
      <c r="I55" s="27"/>
      <c r="J55" s="27"/>
      <c r="K55" s="27"/>
      <c r="L55" s="27"/>
      <c r="M55" s="27"/>
      <c r="N55" s="27"/>
      <c r="O55" s="27"/>
      <c r="P55" s="27"/>
      <c r="Q55" s="27"/>
      <c r="R55" s="27"/>
      <c r="S55" s="27"/>
      <c r="T55" s="27"/>
      <c r="U55" s="27"/>
      <c r="V55" s="27"/>
      <c r="W55" s="27"/>
      <c r="X55" s="27"/>
      <c r="Y55" s="27"/>
      <c r="Z55" s="27"/>
      <c r="AA55" s="27"/>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c r="BM55" s="27"/>
      <c r="BN55" s="27"/>
      <c r="BO55" s="27"/>
      <c r="BP55" s="27"/>
      <c r="BQ55" s="27"/>
      <c r="BR55" s="27"/>
      <c r="BS55" s="27"/>
      <c r="BT55" s="27"/>
      <c r="BU55" s="27"/>
      <c r="BV55" s="27"/>
      <c r="BW55" s="27"/>
      <c r="BX55" s="27"/>
      <c r="BY55" s="27"/>
      <c r="BZ55" s="27"/>
      <c r="CA55" s="27"/>
      <c r="CB55" s="27"/>
      <c r="CC55" s="27"/>
      <c r="CD55" s="27"/>
      <c r="CE55" s="27"/>
      <c r="CF55" s="27"/>
      <c r="CG55" s="27"/>
      <c r="CH55" s="27"/>
      <c r="CI55" s="27"/>
      <c r="CJ55" s="27"/>
      <c r="CK55" s="27"/>
      <c r="CL55" s="27"/>
      <c r="CM55" s="27"/>
      <c r="CN55" s="27"/>
      <c r="CO55" s="27"/>
      <c r="CP55" s="27"/>
      <c r="CQ55" s="27"/>
      <c r="CR55" s="27"/>
      <c r="CS55" s="27"/>
      <c r="CT55" s="27"/>
      <c r="CU55" s="27"/>
      <c r="CV55" s="27"/>
      <c r="CW55" s="27"/>
      <c r="CX55" s="27"/>
      <c r="CY55" s="27"/>
      <c r="CZ55" s="27"/>
      <c r="DA55" s="27"/>
      <c r="DB55" s="27"/>
      <c r="DC55" s="27"/>
      <c r="DD55" s="27"/>
      <c r="DE55" s="27"/>
      <c r="DF55" s="27"/>
      <c r="DG55" s="27"/>
      <c r="DH55" s="27"/>
      <c r="DI55" s="27"/>
      <c r="DJ55" s="27"/>
      <c r="DK55" s="27"/>
      <c r="DL55" s="27"/>
      <c r="DM55" s="27"/>
      <c r="DN55" s="27"/>
      <c r="DO55" s="27"/>
      <c r="DP55" s="27"/>
      <c r="DQ55" s="27"/>
      <c r="DR55" s="27"/>
      <c r="DS55" s="27"/>
      <c r="DT55" s="27"/>
      <c r="DU55" s="27"/>
      <c r="DV55" s="27"/>
      <c r="DW55" s="27"/>
      <c r="DX55" s="27"/>
      <c r="DY55" s="27"/>
      <c r="DZ55" s="27"/>
      <c r="EA55" s="27"/>
      <c r="EB55" s="27"/>
      <c r="EC55" s="27"/>
      <c r="ED55" s="27"/>
      <c r="EE55" s="27"/>
      <c r="EF55" s="27"/>
      <c r="EG55" s="27"/>
      <c r="EH55" s="27"/>
      <c r="EI55" s="27"/>
      <c r="EJ55" s="27"/>
      <c r="EK55" s="27"/>
      <c r="EL55" s="27"/>
      <c r="EM55" s="27"/>
      <c r="EN55" s="27"/>
      <c r="EO55" s="27"/>
      <c r="EP55" s="27"/>
      <c r="EQ55" s="27"/>
      <c r="ER55" s="27"/>
      <c r="ES55" s="27"/>
      <c r="ET55" s="27"/>
      <c r="EU55" s="27"/>
      <c r="EV55" s="27"/>
      <c r="EW55" s="27"/>
      <c r="EX55" s="27"/>
      <c r="EY55" s="27"/>
      <c r="EZ55" s="27"/>
      <c r="FA55" s="27"/>
      <c r="FB55" s="27"/>
      <c r="FC55" s="27"/>
      <c r="FD55" s="27"/>
      <c r="FE55" s="96"/>
      <c r="FF55" s="101"/>
      <c r="FG55" s="98"/>
      <c r="FH55" s="27"/>
      <c r="FI55" s="27"/>
      <c r="FJ55" s="27"/>
      <c r="FK55" s="27"/>
      <c r="FL55" s="27"/>
      <c r="FM55" s="27"/>
      <c r="FN55" s="27"/>
      <c r="FO55" s="27"/>
      <c r="FP55" s="27"/>
      <c r="FQ55" s="27"/>
      <c r="FR55" s="27"/>
      <c r="FS55" s="27"/>
      <c r="FT55" s="27"/>
      <c r="FU55" s="27"/>
      <c r="FV55" s="27"/>
      <c r="FW55" s="27"/>
      <c r="FX55" s="27"/>
      <c r="FY55" s="27"/>
      <c r="FZ55" s="27"/>
      <c r="GC55" s="95">
        <v>1</v>
      </c>
    </row>
    <row r="56" spans="1:185" s="2" customFormat="1" ht="21.6" customHeight="1" thickBot="1" x14ac:dyDescent="0.35">
      <c r="A56" s="40"/>
      <c r="B56" s="47"/>
      <c r="C56" s="17"/>
      <c r="D56" s="60"/>
      <c r="E56" s="60"/>
      <c r="F56" s="27"/>
      <c r="G56" s="27"/>
      <c r="H56" s="27"/>
      <c r="I56" s="27"/>
      <c r="J56" s="27"/>
      <c r="K56" s="27"/>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c r="DD56" s="27"/>
      <c r="DE56" s="27"/>
      <c r="DF56" s="27"/>
      <c r="DG56" s="27"/>
      <c r="DH56" s="27"/>
      <c r="DI56" s="27"/>
      <c r="DJ56" s="27"/>
      <c r="DK56" s="27"/>
      <c r="DL56" s="27"/>
      <c r="DM56" s="27"/>
      <c r="DN56" s="27"/>
      <c r="DO56" s="27"/>
      <c r="DP56" s="27"/>
      <c r="DQ56" s="27"/>
      <c r="DR56" s="27"/>
      <c r="DS56" s="27"/>
      <c r="DT56" s="27"/>
      <c r="DU56" s="27"/>
      <c r="DV56" s="27"/>
      <c r="DW56" s="27"/>
      <c r="DX56" s="27"/>
      <c r="DY56" s="27"/>
      <c r="DZ56" s="27"/>
      <c r="EA56" s="27"/>
      <c r="EB56" s="27"/>
      <c r="EC56" s="27"/>
      <c r="ED56" s="27"/>
      <c r="EE56" s="27"/>
      <c r="EF56" s="27"/>
      <c r="EG56" s="27"/>
      <c r="EH56" s="27"/>
      <c r="EI56" s="27"/>
      <c r="EJ56" s="27"/>
      <c r="EK56" s="27"/>
      <c r="EL56" s="27"/>
      <c r="EM56" s="27"/>
      <c r="EN56" s="27"/>
      <c r="EO56" s="27"/>
      <c r="EP56" s="27"/>
      <c r="EQ56" s="27"/>
      <c r="ER56" s="27"/>
      <c r="ES56" s="27"/>
      <c r="ET56" s="27"/>
      <c r="EU56" s="27"/>
      <c r="EV56" s="27"/>
      <c r="EW56" s="27"/>
      <c r="EX56" s="27"/>
      <c r="EY56" s="27"/>
      <c r="EZ56" s="27"/>
      <c r="FA56" s="27"/>
      <c r="FB56" s="27"/>
      <c r="FC56" s="27"/>
      <c r="FD56" s="27"/>
      <c r="FE56" s="96"/>
      <c r="FF56" s="101"/>
      <c r="FG56" s="98"/>
      <c r="FH56" s="27"/>
      <c r="FI56" s="27"/>
      <c r="FJ56" s="27"/>
      <c r="FK56" s="27"/>
      <c r="FL56" s="27"/>
      <c r="FM56" s="27"/>
      <c r="FN56" s="27"/>
      <c r="FO56" s="27"/>
      <c r="FP56" s="27"/>
      <c r="FQ56" s="27"/>
      <c r="FR56" s="27"/>
      <c r="FS56" s="27"/>
      <c r="FT56" s="27"/>
      <c r="FU56" s="27"/>
      <c r="FV56" s="27"/>
      <c r="FW56" s="27"/>
      <c r="FX56" s="27"/>
      <c r="FY56" s="27"/>
      <c r="FZ56" s="27"/>
      <c r="GC56" s="95">
        <v>1</v>
      </c>
    </row>
    <row r="57" spans="1:185" s="2" customFormat="1" ht="21.6" customHeight="1" thickBot="1" x14ac:dyDescent="0.35">
      <c r="A57" s="40"/>
      <c r="B57" s="47"/>
      <c r="C57" s="17"/>
      <c r="D57" s="60"/>
      <c r="E57" s="60"/>
      <c r="F57" s="27"/>
      <c r="G57" s="27"/>
      <c r="H57" s="27"/>
      <c r="I57" s="27"/>
      <c r="J57" s="27"/>
      <c r="K57" s="27"/>
      <c r="L57" s="27"/>
      <c r="M57" s="27"/>
      <c r="N57" s="27"/>
      <c r="O57" s="27"/>
      <c r="P57" s="27"/>
      <c r="Q57" s="27"/>
      <c r="R57" s="27"/>
      <c r="S57" s="27"/>
      <c r="T57" s="27"/>
      <c r="U57" s="27"/>
      <c r="V57" s="27"/>
      <c r="W57" s="27"/>
      <c r="X57" s="27"/>
      <c r="Y57" s="27"/>
      <c r="Z57" s="27"/>
      <c r="AA57" s="27"/>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c r="BM57" s="27"/>
      <c r="BN57" s="27"/>
      <c r="BO57" s="27"/>
      <c r="BP57" s="27"/>
      <c r="BQ57" s="27"/>
      <c r="BR57" s="27"/>
      <c r="BS57" s="27"/>
      <c r="BT57" s="27"/>
      <c r="BU57" s="27"/>
      <c r="BV57" s="27"/>
      <c r="BW57" s="27"/>
      <c r="BX57" s="27"/>
      <c r="BY57" s="27"/>
      <c r="BZ57" s="27"/>
      <c r="CA57" s="27"/>
      <c r="CB57" s="27"/>
      <c r="CC57" s="27"/>
      <c r="CD57" s="27"/>
      <c r="CE57" s="27"/>
      <c r="CF57" s="27"/>
      <c r="CG57" s="27"/>
      <c r="CH57" s="27"/>
      <c r="CI57" s="27"/>
      <c r="CJ57" s="27"/>
      <c r="CK57" s="27"/>
      <c r="CL57" s="27"/>
      <c r="CM57" s="27"/>
      <c r="CN57" s="27"/>
      <c r="CO57" s="27"/>
      <c r="CP57" s="27"/>
      <c r="CQ57" s="27"/>
      <c r="CR57" s="27"/>
      <c r="CS57" s="27"/>
      <c r="CT57" s="27"/>
      <c r="CU57" s="27"/>
      <c r="CV57" s="27"/>
      <c r="CW57" s="27"/>
      <c r="CX57" s="27"/>
      <c r="CY57" s="27"/>
      <c r="CZ57" s="27"/>
      <c r="DA57" s="27"/>
      <c r="DB57" s="27"/>
      <c r="DC57" s="27"/>
      <c r="DD57" s="27"/>
      <c r="DE57" s="27"/>
      <c r="DF57" s="27"/>
      <c r="DG57" s="27"/>
      <c r="DH57" s="27"/>
      <c r="DI57" s="27"/>
      <c r="DJ57" s="27"/>
      <c r="DK57" s="27"/>
      <c r="DL57" s="27"/>
      <c r="DM57" s="27"/>
      <c r="DN57" s="27"/>
      <c r="DO57" s="27"/>
      <c r="DP57" s="27"/>
      <c r="DQ57" s="27"/>
      <c r="DR57" s="27"/>
      <c r="DS57" s="27"/>
      <c r="DT57" s="27"/>
      <c r="DU57" s="27"/>
      <c r="DV57" s="27"/>
      <c r="DW57" s="27"/>
      <c r="DX57" s="27"/>
      <c r="DY57" s="27"/>
      <c r="DZ57" s="27"/>
      <c r="EA57" s="27"/>
      <c r="EB57" s="27"/>
      <c r="EC57" s="27"/>
      <c r="ED57" s="27"/>
      <c r="EE57" s="27"/>
      <c r="EF57" s="27"/>
      <c r="EG57" s="27"/>
      <c r="EH57" s="27"/>
      <c r="EI57" s="27"/>
      <c r="EJ57" s="27"/>
      <c r="EK57" s="27"/>
      <c r="EL57" s="27"/>
      <c r="EM57" s="27"/>
      <c r="EN57" s="27"/>
      <c r="EO57" s="27"/>
      <c r="EP57" s="27"/>
      <c r="EQ57" s="27"/>
      <c r="ER57" s="27"/>
      <c r="ES57" s="27"/>
      <c r="ET57" s="27"/>
      <c r="EU57" s="27"/>
      <c r="EV57" s="27"/>
      <c r="EW57" s="27"/>
      <c r="EX57" s="27"/>
      <c r="EY57" s="27"/>
      <c r="EZ57" s="27"/>
      <c r="FA57" s="27"/>
      <c r="FB57" s="27"/>
      <c r="FC57" s="27"/>
      <c r="FD57" s="27"/>
      <c r="FE57" s="96"/>
      <c r="FF57" s="101"/>
      <c r="FG57" s="98"/>
      <c r="FH57" s="27"/>
      <c r="FI57" s="27"/>
      <c r="FJ57" s="27"/>
      <c r="FK57" s="27"/>
      <c r="FL57" s="27"/>
      <c r="FM57" s="27"/>
      <c r="FN57" s="27"/>
      <c r="FO57" s="27"/>
      <c r="FP57" s="27"/>
      <c r="FQ57" s="27"/>
      <c r="FR57" s="27"/>
      <c r="FS57" s="27"/>
      <c r="FT57" s="27"/>
      <c r="FU57" s="27"/>
      <c r="FV57" s="27"/>
      <c r="FW57" s="27"/>
      <c r="FX57" s="27"/>
      <c r="FY57" s="27"/>
      <c r="FZ57" s="27"/>
      <c r="GC57" s="95">
        <v>1</v>
      </c>
    </row>
    <row r="58" spans="1:185" s="2" customFormat="1" ht="30" customHeight="1" thickBot="1" x14ac:dyDescent="0.35">
      <c r="A58" s="40"/>
      <c r="B58" s="50"/>
      <c r="C58" s="10"/>
      <c r="D58" s="67"/>
      <c r="E58" s="67"/>
      <c r="F58" s="11"/>
      <c r="G58" s="11" t="str">
        <f t="shared" ref="G58:G59" si="124">IF(OR(ISBLANK(task_start),ISBLANK(task_end)),"",task_end-task_start+1)</f>
        <v/>
      </c>
      <c r="H58" s="27"/>
      <c r="I58" s="27"/>
      <c r="J58" s="27"/>
      <c r="K58" s="27"/>
      <c r="L58" s="27"/>
      <c r="M58" s="27"/>
      <c r="N58" s="27"/>
      <c r="O58" s="27"/>
      <c r="P58" s="27"/>
      <c r="Q58" s="27"/>
      <c r="R58" s="27"/>
      <c r="S58" s="27"/>
      <c r="T58" s="27"/>
      <c r="U58" s="27"/>
      <c r="V58" s="27"/>
      <c r="W58" s="27"/>
      <c r="X58" s="27"/>
      <c r="Y58" s="27"/>
      <c r="Z58" s="27"/>
      <c r="AA58" s="27"/>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c r="BM58" s="27"/>
      <c r="BN58" s="27"/>
      <c r="BO58" s="27"/>
      <c r="BP58" s="27"/>
      <c r="BQ58" s="27"/>
      <c r="BR58" s="27"/>
      <c r="BS58" s="27"/>
      <c r="BT58" s="27"/>
      <c r="BU58" s="27"/>
      <c r="BV58" s="27"/>
      <c r="BW58" s="27"/>
      <c r="BX58" s="27"/>
      <c r="BY58" s="27"/>
      <c r="BZ58" s="27"/>
      <c r="CA58" s="27"/>
      <c r="CB58" s="27"/>
      <c r="CC58" s="27"/>
      <c r="CD58" s="27"/>
      <c r="CE58" s="27"/>
      <c r="CF58" s="27"/>
      <c r="CG58" s="27"/>
      <c r="CH58" s="27"/>
      <c r="CI58" s="27"/>
      <c r="CJ58" s="27"/>
      <c r="CK58" s="27"/>
      <c r="CL58" s="27"/>
      <c r="CM58" s="27"/>
      <c r="CN58" s="27"/>
      <c r="CO58" s="27"/>
      <c r="CP58" s="27"/>
      <c r="CQ58" s="27"/>
      <c r="CR58" s="27"/>
      <c r="CS58" s="27"/>
      <c r="CT58" s="27"/>
      <c r="CU58" s="27"/>
      <c r="CV58" s="27"/>
      <c r="CW58" s="27"/>
      <c r="CX58" s="27"/>
      <c r="CY58" s="27"/>
      <c r="CZ58" s="27"/>
      <c r="DA58" s="27"/>
      <c r="DB58" s="27"/>
      <c r="DC58" s="27"/>
      <c r="DD58" s="27"/>
      <c r="DE58" s="27"/>
      <c r="DF58" s="27"/>
      <c r="DG58" s="27"/>
      <c r="DH58" s="27"/>
      <c r="DI58" s="27"/>
      <c r="DJ58" s="27"/>
      <c r="DK58" s="27"/>
      <c r="DL58" s="27"/>
      <c r="DM58" s="27"/>
      <c r="DN58" s="27"/>
      <c r="DO58" s="27"/>
      <c r="DP58" s="27"/>
      <c r="DQ58" s="27"/>
      <c r="DR58" s="27"/>
      <c r="DS58" s="27"/>
      <c r="DT58" s="27"/>
      <c r="DU58" s="27"/>
      <c r="DV58" s="27"/>
      <c r="DW58" s="27"/>
      <c r="DX58" s="27"/>
      <c r="DY58" s="27"/>
      <c r="DZ58" s="27"/>
      <c r="EA58" s="27"/>
      <c r="EB58" s="27"/>
      <c r="EC58" s="27"/>
      <c r="ED58" s="27"/>
      <c r="EE58" s="27"/>
      <c r="EF58" s="27"/>
      <c r="EG58" s="27"/>
      <c r="EH58" s="27"/>
      <c r="EI58" s="27"/>
      <c r="EJ58" s="27"/>
      <c r="EK58" s="27"/>
      <c r="EL58" s="27"/>
      <c r="EM58" s="27"/>
      <c r="EN58" s="27"/>
      <c r="EO58" s="27"/>
      <c r="EP58" s="27"/>
      <c r="EQ58" s="27"/>
      <c r="ER58" s="27"/>
      <c r="ES58" s="27"/>
      <c r="ET58" s="27"/>
      <c r="EU58" s="27"/>
      <c r="EV58" s="27"/>
      <c r="EW58" s="27"/>
      <c r="EX58" s="27"/>
      <c r="EY58" s="27"/>
      <c r="EZ58" s="27"/>
      <c r="FA58" s="27"/>
      <c r="FB58" s="27"/>
      <c r="FC58" s="27"/>
      <c r="FD58" s="27"/>
      <c r="FE58" s="96"/>
      <c r="FF58" s="101"/>
      <c r="FG58" s="98"/>
      <c r="FH58" s="27"/>
      <c r="FI58" s="27"/>
      <c r="FJ58" s="27"/>
      <c r="FK58" s="27"/>
      <c r="FL58" s="27"/>
      <c r="FM58" s="27"/>
      <c r="FN58" s="27"/>
      <c r="FO58" s="27"/>
      <c r="FP58" s="27"/>
      <c r="FQ58" s="27"/>
      <c r="FR58" s="27"/>
      <c r="FS58" s="27"/>
      <c r="FT58" s="27"/>
      <c r="FU58" s="27"/>
      <c r="FV58" s="27"/>
      <c r="FW58" s="27"/>
      <c r="FX58" s="27"/>
      <c r="FY58" s="27"/>
      <c r="FZ58" s="27"/>
      <c r="GC58" s="95">
        <v>1</v>
      </c>
    </row>
    <row r="59" spans="1:185" s="2" customFormat="1" ht="30" customHeight="1" thickBot="1" x14ac:dyDescent="0.35">
      <c r="A59" s="41"/>
      <c r="B59" s="24" t="s">
        <v>1</v>
      </c>
      <c r="C59" s="25"/>
      <c r="D59" s="71"/>
      <c r="E59" s="72"/>
      <c r="F59" s="26"/>
      <c r="G59" s="26" t="str">
        <f t="shared" si="124"/>
        <v/>
      </c>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c r="AO59" s="28"/>
      <c r="AP59" s="28"/>
      <c r="AQ59" s="28"/>
      <c r="AR59" s="28"/>
      <c r="AS59" s="28"/>
      <c r="AT59" s="28"/>
      <c r="AU59" s="28"/>
      <c r="AV59" s="28"/>
      <c r="AW59" s="28"/>
      <c r="AX59" s="28"/>
      <c r="AY59" s="28"/>
      <c r="AZ59" s="28"/>
      <c r="BA59" s="28"/>
      <c r="BB59" s="28"/>
      <c r="BC59" s="28"/>
      <c r="BD59" s="28"/>
      <c r="BE59" s="28"/>
      <c r="BF59" s="28"/>
      <c r="BG59" s="28"/>
      <c r="BH59" s="28"/>
      <c r="BI59" s="28"/>
      <c r="BJ59" s="28"/>
      <c r="BK59" s="28"/>
      <c r="BL59" s="28"/>
      <c r="BM59" s="28"/>
      <c r="BN59" s="28"/>
      <c r="BO59" s="28"/>
      <c r="BP59" s="28"/>
      <c r="BQ59" s="28"/>
      <c r="BR59" s="28"/>
      <c r="BS59" s="28"/>
      <c r="BT59" s="28"/>
      <c r="BU59" s="28"/>
      <c r="BV59" s="28"/>
      <c r="BW59" s="28"/>
      <c r="BX59" s="28"/>
      <c r="BY59" s="28"/>
      <c r="BZ59" s="28"/>
      <c r="CA59" s="28"/>
      <c r="CB59" s="28"/>
      <c r="CC59" s="28"/>
      <c r="CD59" s="28"/>
      <c r="CE59" s="28"/>
      <c r="CF59" s="28"/>
      <c r="CG59" s="28"/>
      <c r="CH59" s="28"/>
      <c r="CI59" s="28"/>
      <c r="CJ59" s="28"/>
      <c r="CK59" s="28"/>
      <c r="CL59" s="28"/>
      <c r="CM59" s="28"/>
      <c r="CN59" s="28"/>
      <c r="CO59" s="28"/>
      <c r="CP59" s="28"/>
      <c r="CQ59" s="28"/>
      <c r="CR59" s="28"/>
      <c r="CS59" s="28"/>
      <c r="CT59" s="28"/>
      <c r="CU59" s="28"/>
      <c r="CV59" s="28"/>
      <c r="CW59" s="28"/>
      <c r="CX59" s="28"/>
      <c r="CY59" s="28"/>
      <c r="CZ59" s="28"/>
      <c r="DA59" s="28"/>
      <c r="DB59" s="28"/>
      <c r="DC59" s="28"/>
      <c r="DD59" s="28"/>
      <c r="DE59" s="28"/>
      <c r="DF59" s="28"/>
      <c r="DG59" s="28"/>
      <c r="DH59" s="28"/>
      <c r="DI59" s="28"/>
      <c r="DJ59" s="28"/>
      <c r="DK59" s="28"/>
      <c r="DL59" s="28"/>
      <c r="DM59" s="28"/>
      <c r="DN59" s="28"/>
      <c r="DO59" s="28"/>
      <c r="DP59" s="28"/>
      <c r="DQ59" s="28"/>
      <c r="DR59" s="28"/>
      <c r="DS59" s="28"/>
      <c r="DT59" s="28"/>
      <c r="DU59" s="28"/>
      <c r="DV59" s="28"/>
      <c r="DW59" s="28"/>
      <c r="DX59" s="28"/>
      <c r="DY59" s="28"/>
      <c r="DZ59" s="28"/>
      <c r="EA59" s="28"/>
      <c r="EB59" s="28"/>
      <c r="EC59" s="28"/>
      <c r="ED59" s="28"/>
      <c r="EE59" s="28"/>
      <c r="EF59" s="28"/>
      <c r="EG59" s="28"/>
      <c r="EH59" s="28"/>
      <c r="EI59" s="28"/>
      <c r="EJ59" s="28"/>
      <c r="EK59" s="28"/>
      <c r="EL59" s="28"/>
      <c r="EM59" s="28"/>
      <c r="EN59" s="28"/>
      <c r="EO59" s="28"/>
      <c r="EP59" s="28"/>
      <c r="EQ59" s="28"/>
      <c r="ER59" s="28"/>
      <c r="ES59" s="28"/>
      <c r="ET59" s="28"/>
      <c r="EU59" s="28"/>
      <c r="EV59" s="28"/>
      <c r="EW59" s="28"/>
      <c r="EX59" s="28"/>
      <c r="EY59" s="28"/>
      <c r="EZ59" s="28"/>
      <c r="FA59" s="28"/>
      <c r="FB59" s="28"/>
      <c r="FC59" s="28"/>
      <c r="FD59" s="28"/>
      <c r="FE59" s="97"/>
      <c r="FF59" s="101"/>
      <c r="FG59" s="99"/>
      <c r="FH59" s="28"/>
      <c r="FI59" s="28"/>
      <c r="FJ59" s="28"/>
      <c r="FK59" s="28"/>
      <c r="FL59" s="28"/>
      <c r="FM59" s="28"/>
      <c r="FN59" s="28"/>
      <c r="FO59" s="28"/>
      <c r="FP59" s="28"/>
      <c r="FQ59" s="28"/>
      <c r="FR59" s="28"/>
      <c r="FS59" s="28"/>
      <c r="FT59" s="28"/>
      <c r="FU59" s="28"/>
      <c r="FV59" s="28"/>
      <c r="FW59" s="28"/>
      <c r="FX59" s="28"/>
      <c r="FY59" s="28"/>
      <c r="FZ59" s="28"/>
      <c r="GC59" s="95">
        <v>1</v>
      </c>
    </row>
    <row r="60" spans="1:185" ht="30" customHeight="1" x14ac:dyDescent="0.3">
      <c r="F60" s="5"/>
      <c r="FG60" s="102"/>
      <c r="GC60" s="95">
        <v>1</v>
      </c>
    </row>
    <row r="61" spans="1:185" ht="30" customHeight="1" x14ac:dyDescent="0.3">
      <c r="E61" s="42"/>
      <c r="FG61" s="102"/>
      <c r="GC61" s="95">
        <v>1</v>
      </c>
    </row>
    <row r="62" spans="1:185" ht="30" customHeight="1" x14ac:dyDescent="0.3">
      <c r="GC62" s="95">
        <v>1</v>
      </c>
    </row>
    <row r="63" spans="1:185" ht="30" customHeight="1" x14ac:dyDescent="0.3">
      <c r="A63" s="95">
        <v>1</v>
      </c>
      <c r="B63" s="95">
        <v>1</v>
      </c>
      <c r="C63" s="95">
        <v>1</v>
      </c>
      <c r="D63" s="95">
        <v>1</v>
      </c>
      <c r="E63" s="95">
        <v>1</v>
      </c>
      <c r="F63" s="95">
        <v>1</v>
      </c>
      <c r="G63" s="95">
        <v>1</v>
      </c>
      <c r="H63" s="95">
        <v>1</v>
      </c>
      <c r="I63" s="95">
        <v>1</v>
      </c>
      <c r="J63" s="95">
        <v>1</v>
      </c>
      <c r="K63" s="95">
        <v>1</v>
      </c>
      <c r="L63" s="95">
        <v>1</v>
      </c>
      <c r="M63" s="95">
        <v>1</v>
      </c>
      <c r="N63" s="95">
        <v>1</v>
      </c>
      <c r="O63" s="95">
        <v>1</v>
      </c>
      <c r="P63" s="95">
        <v>1</v>
      </c>
      <c r="Q63" s="95">
        <v>1</v>
      </c>
      <c r="R63" s="95">
        <v>1</v>
      </c>
      <c r="S63" s="95">
        <v>1</v>
      </c>
      <c r="T63" s="95">
        <v>1</v>
      </c>
      <c r="U63" s="95">
        <v>1</v>
      </c>
      <c r="V63" s="95">
        <v>1</v>
      </c>
      <c r="W63" s="95">
        <v>1</v>
      </c>
      <c r="X63" s="95">
        <v>1</v>
      </c>
      <c r="Y63" s="95">
        <v>1</v>
      </c>
      <c r="Z63" s="95">
        <v>1</v>
      </c>
      <c r="AA63" s="95">
        <v>1</v>
      </c>
      <c r="AB63" s="95">
        <v>1</v>
      </c>
      <c r="AC63" s="95">
        <v>1</v>
      </c>
      <c r="AD63" s="95">
        <v>1</v>
      </c>
      <c r="AE63" s="95">
        <v>1</v>
      </c>
      <c r="AF63" s="95">
        <v>1</v>
      </c>
      <c r="AG63" s="95">
        <v>1</v>
      </c>
      <c r="AH63" s="95">
        <v>1</v>
      </c>
      <c r="AI63" s="95">
        <v>1</v>
      </c>
      <c r="AJ63" s="95">
        <v>1</v>
      </c>
      <c r="AK63" s="95">
        <v>1</v>
      </c>
      <c r="AL63" s="95">
        <v>1</v>
      </c>
      <c r="AM63" s="95">
        <v>1</v>
      </c>
      <c r="AN63" s="95">
        <v>1</v>
      </c>
      <c r="AO63" s="95">
        <v>1</v>
      </c>
      <c r="AP63" s="95">
        <v>1</v>
      </c>
      <c r="AQ63" s="95">
        <v>1</v>
      </c>
      <c r="AR63" s="95">
        <v>1</v>
      </c>
      <c r="AS63" s="95">
        <v>1</v>
      </c>
      <c r="AT63" s="95">
        <v>1</v>
      </c>
      <c r="AU63" s="95">
        <v>1</v>
      </c>
      <c r="AV63" s="95">
        <v>1</v>
      </c>
      <c r="AW63" s="95">
        <v>1</v>
      </c>
      <c r="AX63" s="95">
        <v>1</v>
      </c>
      <c r="AY63" s="95">
        <v>1</v>
      </c>
      <c r="AZ63" s="95">
        <v>1</v>
      </c>
      <c r="BA63" s="95">
        <v>1</v>
      </c>
      <c r="BB63" s="95">
        <v>1</v>
      </c>
      <c r="BC63" s="95">
        <v>1</v>
      </c>
      <c r="BD63" s="95">
        <v>1</v>
      </c>
      <c r="BE63" s="95">
        <v>1</v>
      </c>
      <c r="BF63" s="95">
        <v>1</v>
      </c>
      <c r="BG63" s="95">
        <v>1</v>
      </c>
      <c r="BH63" s="95">
        <v>1</v>
      </c>
      <c r="BI63" s="95">
        <v>1</v>
      </c>
      <c r="BJ63" s="95">
        <v>1</v>
      </c>
      <c r="BK63" s="95">
        <v>1</v>
      </c>
      <c r="BL63" s="95">
        <v>1</v>
      </c>
      <c r="BM63" s="95">
        <v>1</v>
      </c>
      <c r="BN63" s="95">
        <v>1</v>
      </c>
      <c r="BO63" s="95">
        <v>1</v>
      </c>
      <c r="BP63" s="95">
        <v>1</v>
      </c>
      <c r="BQ63" s="95">
        <v>1</v>
      </c>
      <c r="BR63" s="95">
        <v>1</v>
      </c>
      <c r="BS63" s="95">
        <v>1</v>
      </c>
      <c r="BT63" s="95">
        <v>1</v>
      </c>
      <c r="BU63" s="95">
        <v>1</v>
      </c>
      <c r="BV63" s="95">
        <v>1</v>
      </c>
      <c r="BW63" s="95">
        <v>1</v>
      </c>
      <c r="BX63" s="95">
        <v>1</v>
      </c>
      <c r="BY63" s="95">
        <v>1</v>
      </c>
      <c r="BZ63" s="95">
        <v>1</v>
      </c>
      <c r="CA63" s="95">
        <v>1</v>
      </c>
      <c r="CB63" s="95">
        <v>1</v>
      </c>
      <c r="CC63" s="95">
        <v>1</v>
      </c>
      <c r="CD63" s="95">
        <v>1</v>
      </c>
      <c r="CE63" s="95">
        <v>1</v>
      </c>
      <c r="CF63" s="95">
        <v>1</v>
      </c>
      <c r="CG63" s="95">
        <v>1</v>
      </c>
      <c r="CH63" s="95">
        <v>1</v>
      </c>
      <c r="CI63" s="95">
        <v>1</v>
      </c>
      <c r="CJ63" s="95">
        <v>1</v>
      </c>
      <c r="CK63" s="95">
        <v>1</v>
      </c>
      <c r="CL63" s="95">
        <v>1</v>
      </c>
      <c r="CM63" s="95">
        <v>1</v>
      </c>
      <c r="CN63" s="95">
        <v>1</v>
      </c>
      <c r="CO63" s="95">
        <v>1</v>
      </c>
      <c r="CP63" s="95">
        <v>1</v>
      </c>
      <c r="CQ63" s="95">
        <v>1</v>
      </c>
      <c r="CR63" s="95">
        <v>1</v>
      </c>
      <c r="CS63" s="95">
        <v>1</v>
      </c>
      <c r="CT63" s="95">
        <v>1</v>
      </c>
      <c r="CU63" s="95">
        <v>1</v>
      </c>
      <c r="CV63" s="95">
        <v>1</v>
      </c>
      <c r="CW63" s="95">
        <v>1</v>
      </c>
      <c r="CX63" s="95">
        <v>1</v>
      </c>
      <c r="CY63" s="95">
        <v>1</v>
      </c>
      <c r="CZ63" s="95">
        <v>1</v>
      </c>
      <c r="DA63" s="95">
        <v>1</v>
      </c>
      <c r="DB63" s="95">
        <v>1</v>
      </c>
      <c r="DC63" s="95">
        <v>1</v>
      </c>
      <c r="DD63" s="95">
        <v>1</v>
      </c>
      <c r="DE63" s="95">
        <v>1</v>
      </c>
      <c r="DF63" s="95">
        <v>1</v>
      </c>
      <c r="DG63" s="95">
        <v>1</v>
      </c>
      <c r="DH63" s="95">
        <v>1</v>
      </c>
      <c r="DI63" s="95">
        <v>1</v>
      </c>
      <c r="DJ63" s="95">
        <v>1</v>
      </c>
      <c r="DK63" s="95">
        <v>1</v>
      </c>
      <c r="DL63" s="95">
        <v>1</v>
      </c>
      <c r="DM63" s="95">
        <v>1</v>
      </c>
      <c r="DN63" s="95">
        <v>1</v>
      </c>
      <c r="DO63" s="95">
        <v>1</v>
      </c>
      <c r="DP63" s="95">
        <v>1</v>
      </c>
      <c r="DQ63" s="95">
        <v>1</v>
      </c>
      <c r="DR63" s="95">
        <v>1</v>
      </c>
      <c r="DS63" s="95">
        <v>1</v>
      </c>
      <c r="DT63" s="95">
        <v>1</v>
      </c>
      <c r="DU63" s="95">
        <v>1</v>
      </c>
      <c r="DV63" s="95">
        <v>1</v>
      </c>
      <c r="DW63" s="95">
        <v>1</v>
      </c>
      <c r="DX63" s="95">
        <v>1</v>
      </c>
      <c r="DY63" s="95">
        <v>1</v>
      </c>
      <c r="DZ63" s="95">
        <v>1</v>
      </c>
      <c r="EA63" s="95">
        <v>1</v>
      </c>
      <c r="EB63" s="95">
        <v>1</v>
      </c>
      <c r="EC63" s="95">
        <v>1</v>
      </c>
      <c r="ED63" s="95">
        <v>1</v>
      </c>
      <c r="EE63" s="95">
        <v>1</v>
      </c>
      <c r="EF63" s="95">
        <v>1</v>
      </c>
      <c r="EG63" s="95">
        <v>1</v>
      </c>
      <c r="EH63" s="95">
        <v>1</v>
      </c>
      <c r="EI63" s="95">
        <v>1</v>
      </c>
      <c r="EJ63" s="95">
        <v>1</v>
      </c>
      <c r="EK63" s="95">
        <v>1</v>
      </c>
      <c r="EL63" s="95">
        <v>1</v>
      </c>
      <c r="EM63" s="95">
        <v>1</v>
      </c>
      <c r="EN63" s="95">
        <v>1</v>
      </c>
      <c r="EO63" s="95">
        <v>1</v>
      </c>
      <c r="EP63" s="95">
        <v>1</v>
      </c>
      <c r="EQ63" s="95">
        <v>1</v>
      </c>
      <c r="ER63" s="95">
        <v>1</v>
      </c>
      <c r="ES63" s="95">
        <v>1</v>
      </c>
      <c r="ET63" s="95">
        <v>1</v>
      </c>
      <c r="EU63" s="95">
        <v>1</v>
      </c>
      <c r="EV63" s="95">
        <v>1</v>
      </c>
      <c r="EW63" s="95">
        <v>1</v>
      </c>
      <c r="EX63" s="95">
        <v>1</v>
      </c>
      <c r="EY63" s="95">
        <v>1</v>
      </c>
      <c r="EZ63" s="95">
        <v>1</v>
      </c>
      <c r="FA63" s="95">
        <v>1</v>
      </c>
      <c r="FB63" s="95">
        <v>1</v>
      </c>
      <c r="FC63" s="95">
        <v>1</v>
      </c>
      <c r="FD63" s="95">
        <v>1</v>
      </c>
      <c r="FE63" s="95">
        <v>1</v>
      </c>
      <c r="FF63" s="95">
        <v>1</v>
      </c>
      <c r="FG63" s="95">
        <v>1</v>
      </c>
      <c r="FH63" s="95">
        <v>1</v>
      </c>
      <c r="FI63" s="95">
        <v>1</v>
      </c>
      <c r="FJ63" s="95">
        <v>1</v>
      </c>
      <c r="FK63" s="95">
        <v>1</v>
      </c>
      <c r="FL63" s="95">
        <v>1</v>
      </c>
      <c r="FM63" s="95">
        <v>1</v>
      </c>
      <c r="FN63" s="95">
        <v>1</v>
      </c>
      <c r="FO63" s="95">
        <v>1</v>
      </c>
      <c r="FP63" s="95">
        <v>1</v>
      </c>
      <c r="FQ63" s="95">
        <v>1</v>
      </c>
      <c r="FR63" s="95">
        <v>1</v>
      </c>
      <c r="FS63" s="95">
        <v>1</v>
      </c>
      <c r="FT63" s="95">
        <v>1</v>
      </c>
      <c r="FU63" s="95">
        <v>1</v>
      </c>
      <c r="FV63" s="95">
        <v>1</v>
      </c>
      <c r="FW63" s="95">
        <v>1</v>
      </c>
      <c r="FX63" s="95">
        <v>1</v>
      </c>
      <c r="FY63" s="95">
        <v>1</v>
      </c>
      <c r="FZ63" s="95">
        <v>1</v>
      </c>
      <c r="GA63" s="95">
        <v>1</v>
      </c>
      <c r="GB63" s="95">
        <v>1</v>
      </c>
      <c r="GC63" s="95">
        <v>1</v>
      </c>
    </row>
    <row r="67" spans="2:5" ht="30" customHeight="1" x14ac:dyDescent="0.3">
      <c r="D67" s="111"/>
    </row>
    <row r="68" spans="2:5" ht="30" customHeight="1" x14ac:dyDescent="0.3">
      <c r="B68" t="s">
        <v>41</v>
      </c>
    </row>
    <row r="69" spans="2:5" ht="30" customHeight="1" x14ac:dyDescent="0.3">
      <c r="B69" t="s">
        <v>42</v>
      </c>
      <c r="D69" s="112"/>
      <c r="E69" s="113"/>
    </row>
    <row r="70" spans="2:5" ht="30" customHeight="1" x14ac:dyDescent="0.3">
      <c r="B70" t="s">
        <v>43</v>
      </c>
      <c r="E70" s="114"/>
    </row>
    <row r="71" spans="2:5" ht="30" customHeight="1" x14ac:dyDescent="0.3">
      <c r="B71" t="s">
        <v>44</v>
      </c>
    </row>
    <row r="72" spans="2:5" ht="30" customHeight="1" x14ac:dyDescent="0.3">
      <c r="B72" t="s">
        <v>45</v>
      </c>
    </row>
    <row r="73" spans="2:5" ht="30" customHeight="1" x14ac:dyDescent="0.3">
      <c r="B73" t="s">
        <v>46</v>
      </c>
    </row>
    <row r="74" spans="2:5" ht="30" customHeight="1" x14ac:dyDescent="0.3">
      <c r="B74" t="s">
        <v>47</v>
      </c>
    </row>
    <row r="75" spans="2:5" ht="30" customHeight="1" x14ac:dyDescent="0.3">
      <c r="B75" t="s">
        <v>48</v>
      </c>
    </row>
  </sheetData>
  <mergeCells count="28">
    <mergeCell ref="EK4:EQ4"/>
    <mergeCell ref="ER4:EX4"/>
    <mergeCell ref="D3:E3"/>
    <mergeCell ref="H4:N4"/>
    <mergeCell ref="O4:U4"/>
    <mergeCell ref="V4:AB4"/>
    <mergeCell ref="AC4:AI4"/>
    <mergeCell ref="AJ4:AP4"/>
    <mergeCell ref="AQ4:AW4"/>
    <mergeCell ref="AX4:BD4"/>
    <mergeCell ref="BE4:BK4"/>
    <mergeCell ref="BL4:BR4"/>
    <mergeCell ref="EY4:FE4"/>
    <mergeCell ref="FF4:FL4"/>
    <mergeCell ref="FM4:FS4"/>
    <mergeCell ref="FT4:FZ4"/>
    <mergeCell ref="BO3:BY3"/>
    <mergeCell ref="DP3:EC3"/>
    <mergeCell ref="BS4:BY4"/>
    <mergeCell ref="BZ4:CF4"/>
    <mergeCell ref="CG4:CM4"/>
    <mergeCell ref="CN4:CT4"/>
    <mergeCell ref="CU4:DA4"/>
    <mergeCell ref="DB4:DH4"/>
    <mergeCell ref="DI4:DO4"/>
    <mergeCell ref="DP4:DV4"/>
    <mergeCell ref="DW4:EC4"/>
    <mergeCell ref="ED4:EJ4"/>
  </mergeCells>
  <phoneticPr fontId="34" type="noConversion"/>
  <conditionalFormatting sqref="C7:C59">
    <cfRule type="dataBar" priority="19">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5:BC7 F8:FZ57 H58:BC59 BE5:BJ6 BL5:BQ6 BS5:BX6 BZ5:CE6 CG5:CL6 CN5:CS6 CU5:CZ6 DB5:DG6 DI5:DN6 DP5:DU6 DW5:EB6 ED5:EI6 EK5:EP6 ER5:EW6 EY5:FD6 FF5:FK6 FM5:FR6 FT5:FY6">
    <cfRule type="expression" dxfId="26" priority="38">
      <formula>AND(TODAY()&gt;=F$5,TODAY()&lt;G$5)</formula>
    </cfRule>
  </conditionalFormatting>
  <conditionalFormatting sqref="H7:BC7 F8:FZ57 H58:BC59">
    <cfRule type="expression" dxfId="25" priority="33" stopIfTrue="1">
      <formula>AND(task_end&gt;=F$5,task_start&lt;G$5)</formula>
    </cfRule>
  </conditionalFormatting>
  <conditionalFormatting sqref="H7:FZ7 F8:FZ57 H58:FZ59">
    <cfRule type="expression" dxfId="24" priority="32">
      <formula>AND(task_start&lt;=F$5,ROUNDDOWN((task_end-task_start+1)*task_progress,0)+task_start-1&gt;=F$5)</formula>
    </cfRule>
  </conditionalFormatting>
  <conditionalFormatting sqref="BD5:BD6 BD7:BJ7 BZ7:CE7 CU7:CZ7 DB7:DG7 DI7:DN7 BD58:BJ59 BZ58:CE59 CU58:CZ59 DB58:DG59 DI58:DN59">
    <cfRule type="expression" dxfId="23" priority="376">
      <formula>AND(TODAY()&gt;=BD$5,TODAY()&lt;#REF!)</formula>
    </cfRule>
  </conditionalFormatting>
  <conditionalFormatting sqref="BD7:BJ7 BZ7:CE7 CU7:CZ7 DB7:DG7 DI7:DN7 BD58:BJ59 BZ58:CE59 CU58:CZ59 DB58:DG59 DI58:DN59">
    <cfRule type="expression" dxfId="22" priority="418" stopIfTrue="1">
      <formula>AND(task_end&gt;=BD$5,task_start&lt;#REF!)</formula>
    </cfRule>
  </conditionalFormatting>
  <conditionalFormatting sqref="BK5:BK6 BR5:BR6 BY5:BY6 CF5:CF6 CM5:CM6 CT5:CT6 DA5:DA6 DH5:DH6 DO5:DO6 DV5:DV6 EC5:EC6 EJ5:EJ6 EQ5:EQ6 EX5:EX6 FE5:FE6 FL5:FL6 FS5:FS6 FZ5:FZ6 BK7:BY7 BK58:BY59">
    <cfRule type="expression" dxfId="21" priority="378">
      <formula>AND(TODAY()&gt;=BK$5,TODAY()&lt;GA$5)</formula>
    </cfRule>
  </conditionalFormatting>
  <conditionalFormatting sqref="BK7:BY7 BK58:BY59">
    <cfRule type="expression" dxfId="20" priority="442" stopIfTrue="1">
      <formula>AND(task_end&gt;=BK$5,task_start&lt;GA$5)</formula>
    </cfRule>
  </conditionalFormatting>
  <conditionalFormatting sqref="CF7:CT7 CF58:CT59">
    <cfRule type="expression" dxfId="19" priority="428">
      <formula>AND(TODAY()&gt;=CF$5,TODAY()&lt;GA$5)</formula>
    </cfRule>
    <cfRule type="expression" dxfId="18" priority="438" stopIfTrue="1">
      <formula>AND(task_end&gt;=CF$5,task_start&lt;GA$5)</formula>
    </cfRule>
  </conditionalFormatting>
  <conditionalFormatting sqref="DA7 DA58:DA59">
    <cfRule type="expression" dxfId="17" priority="319">
      <formula>AND(TODAY()&gt;=DA$5,TODAY()&lt;GA$5)</formula>
    </cfRule>
    <cfRule type="expression" dxfId="16" priority="321" stopIfTrue="1">
      <formula>AND(task_end&gt;=DA$5,task_start&lt;GA$5)</formula>
    </cfRule>
  </conditionalFormatting>
  <conditionalFormatting sqref="DH7 DH58:DH59">
    <cfRule type="expression" dxfId="15" priority="272">
      <formula>AND(TODAY()&gt;=DH$5,TODAY()&lt;GA$5)</formula>
    </cfRule>
    <cfRule type="expression" dxfId="14" priority="274" stopIfTrue="1">
      <formula>AND(task_end&gt;=DH$5,task_start&lt;GA$5)</formula>
    </cfRule>
  </conditionalFormatting>
  <conditionalFormatting sqref="DO7:DV7 DO58:DV59">
    <cfRule type="expression" dxfId="13" priority="237" stopIfTrue="1">
      <formula>AND(task_end&gt;=DO$5,task_start&lt;GA$5)</formula>
    </cfRule>
    <cfRule type="expression" dxfId="12" priority="235">
      <formula>AND(TODAY()&gt;=DO$5,TODAY()&lt;GA$5)</formula>
    </cfRule>
  </conditionalFormatting>
  <conditionalFormatting sqref="DW7:EC7 DW58:EC59">
    <cfRule type="expression" dxfId="11" priority="198">
      <formula>AND(TODAY()&gt;=DW$5,TODAY()&lt;GB$5)</formula>
    </cfRule>
    <cfRule type="expression" dxfId="10" priority="200" stopIfTrue="1">
      <formula>AND(task_end&gt;=DW$5,task_start&lt;GB$5)</formula>
    </cfRule>
  </conditionalFormatting>
  <conditionalFormatting sqref="ED7:EQ7 ED58:EQ59">
    <cfRule type="expression" dxfId="9" priority="161">
      <formula>AND(TODAY()&gt;=ED$5,TODAY()&lt;GB$5)</formula>
    </cfRule>
    <cfRule type="expression" dxfId="8" priority="163" stopIfTrue="1">
      <formula>AND(task_end&gt;=ED$5,task_start&lt;GB$5)</formula>
    </cfRule>
  </conditionalFormatting>
  <conditionalFormatting sqref="ER7:EX7 ER58:EX59">
    <cfRule type="expression" dxfId="7" priority="128">
      <formula>AND(TODAY()&gt;=ER$5,TODAY()&lt;GI$5)</formula>
    </cfRule>
    <cfRule type="expression" dxfId="6" priority="130" stopIfTrue="1">
      <formula>AND(task_end&gt;=ER$5,task_start&lt;GI$5)</formula>
    </cfRule>
  </conditionalFormatting>
  <conditionalFormatting sqref="EY7:FE7 EY58:FE59">
    <cfRule type="expression" dxfId="5" priority="103">
      <formula>AND(TODAY()&gt;=EY$5,TODAY()&lt;GI$5)</formula>
    </cfRule>
    <cfRule type="expression" dxfId="4" priority="105" stopIfTrue="1">
      <formula>AND(task_end&gt;=EY$5,task_start&lt;GI$5)</formula>
    </cfRule>
  </conditionalFormatting>
  <conditionalFormatting sqref="FF7:FS7 FF58:FS59">
    <cfRule type="expression" dxfId="3" priority="70">
      <formula>AND(TODAY()&gt;=FF$5,TODAY()&lt;GI$5)</formula>
    </cfRule>
    <cfRule type="expression" dxfId="2" priority="72" stopIfTrue="1">
      <formula>AND(task_end&gt;=FF$5,task_start&lt;GI$5)</formula>
    </cfRule>
  </conditionalFormatting>
  <conditionalFormatting sqref="FT7:FZ7 FT58:FZ59">
    <cfRule type="expression" dxfId="1" priority="397">
      <formula>AND(TODAY()&gt;=FT$5,TODAY()&lt;GP$5)</formula>
    </cfRule>
    <cfRule type="expression" dxfId="0" priority="399" stopIfTrue="1">
      <formula>AND(task_end&gt;=FT$5,task_start&lt;GP$5)</formula>
    </cfRule>
  </conditionalFormatting>
  <dataValidations disablePrompts="1" count="1">
    <dataValidation type="whole" operator="greaterThanOrEqual" allowBlank="1" showInputMessage="1" promptTitle="Weergegeven week" prompt="Als u dit getal wijzigt, scrolt u door de weergave van het Gantt-diagram." sqref="D4" xr:uid="{00000000-0002-0000-0000-000000000000}">
      <formula1>1</formula1>
    </dataValidation>
  </dataValidations>
  <hyperlinks>
    <hyperlink ref="H2" r:id="rId1" xr:uid="{00000000-0004-0000-0000-000000000000}"/>
    <hyperlink ref="H1" r:id="rId2" xr:uid="{00000000-0004-0000-0000-000001000000}"/>
  </hyperlinks>
  <printOptions horizontalCentered="1"/>
  <pageMargins left="0.35" right="0.35" top="0.35" bottom="0.5" header="0.3" footer="0.3"/>
  <pageSetup paperSize="9" scale="60" fitToHeight="0" orientation="landscape" r:id="rId3"/>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C7:C59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E16046-3957-429D-BA41-59B4EEE9D413}">
  <dimension ref="B5:G15"/>
  <sheetViews>
    <sheetView workbookViewId="0">
      <selection activeCell="I9" sqref="I9"/>
    </sheetView>
  </sheetViews>
  <sheetFormatPr defaultRowHeight="14.4" x14ac:dyDescent="0.3"/>
  <sheetData>
    <row r="5" spans="2:7" x14ac:dyDescent="0.3">
      <c r="B5" s="110" t="s">
        <v>33</v>
      </c>
      <c r="C5" s="110"/>
      <c r="D5" s="110"/>
      <c r="E5" s="110"/>
      <c r="F5" s="110"/>
    </row>
    <row r="6" spans="2:7" x14ac:dyDescent="0.3">
      <c r="B6" t="s">
        <v>34</v>
      </c>
    </row>
    <row r="7" spans="2:7" x14ac:dyDescent="0.3">
      <c r="B7">
        <f>48/24</f>
        <v>2</v>
      </c>
      <c r="C7" s="82" t="s">
        <v>35</v>
      </c>
      <c r="E7" t="s">
        <v>36</v>
      </c>
    </row>
    <row r="9" spans="2:7" ht="57.6" x14ac:dyDescent="0.3">
      <c r="B9" s="83" t="s">
        <v>37</v>
      </c>
      <c r="C9" s="84" t="s">
        <v>38</v>
      </c>
      <c r="D9" s="84" t="s">
        <v>39</v>
      </c>
      <c r="E9" s="84" t="s">
        <v>40</v>
      </c>
      <c r="F9" s="84"/>
      <c r="G9" s="84"/>
    </row>
    <row r="10" spans="2:7" x14ac:dyDescent="0.3">
      <c r="B10" s="85">
        <v>10</v>
      </c>
      <c r="C10" s="4">
        <f>$C$6*B10</f>
        <v>0</v>
      </c>
      <c r="D10" s="86">
        <f>C10/600</f>
        <v>0</v>
      </c>
      <c r="E10" s="86">
        <f>C10/2400</f>
        <v>0</v>
      </c>
      <c r="F10" s="4"/>
      <c r="G10" s="4"/>
    </row>
    <row r="11" spans="2:7" x14ac:dyDescent="0.3">
      <c r="B11" s="85">
        <v>20</v>
      </c>
      <c r="C11" s="4">
        <f t="shared" ref="C11:C14" si="0">$C$6*B11</f>
        <v>0</v>
      </c>
      <c r="D11" s="86">
        <f t="shared" ref="D11:D14" si="1">C11/600</f>
        <v>0</v>
      </c>
      <c r="E11" s="86">
        <f t="shared" ref="E11:E14" si="2">C11/2400</f>
        <v>0</v>
      </c>
      <c r="F11" s="4"/>
      <c r="G11" s="4"/>
    </row>
    <row r="12" spans="2:7" x14ac:dyDescent="0.3">
      <c r="B12" s="85">
        <v>30</v>
      </c>
      <c r="C12" s="4">
        <f t="shared" si="0"/>
        <v>0</v>
      </c>
      <c r="D12" s="86">
        <f t="shared" si="1"/>
        <v>0</v>
      </c>
      <c r="E12" s="86">
        <f t="shared" si="2"/>
        <v>0</v>
      </c>
      <c r="F12" s="4"/>
      <c r="G12" s="4"/>
    </row>
    <row r="13" spans="2:7" x14ac:dyDescent="0.3">
      <c r="B13" s="85">
        <v>40</v>
      </c>
      <c r="C13" s="4">
        <f t="shared" si="0"/>
        <v>0</v>
      </c>
      <c r="D13" s="86">
        <f t="shared" si="1"/>
        <v>0</v>
      </c>
      <c r="E13" s="86">
        <f t="shared" si="2"/>
        <v>0</v>
      </c>
      <c r="F13" s="4"/>
      <c r="G13" s="4"/>
    </row>
    <row r="14" spans="2:7" x14ac:dyDescent="0.3">
      <c r="B14" s="85">
        <v>50</v>
      </c>
      <c r="C14" s="4">
        <f t="shared" si="0"/>
        <v>0</v>
      </c>
      <c r="D14" s="86">
        <f t="shared" si="1"/>
        <v>0</v>
      </c>
      <c r="E14" s="86">
        <f t="shared" si="2"/>
        <v>0</v>
      </c>
      <c r="F14" s="4"/>
      <c r="G14" s="4"/>
    </row>
    <row r="15" spans="2:7" x14ac:dyDescent="0.3">
      <c r="B15" s="85"/>
    </row>
  </sheetData>
  <mergeCells count="1">
    <mergeCell ref="B5:F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109375" defaultRowHeight="13.8" x14ac:dyDescent="0.3"/>
  <cols>
    <col min="1" max="1" width="93" style="30" customWidth="1"/>
    <col min="2" max="16384" width="9.109375" style="1"/>
  </cols>
  <sheetData>
    <row r="1" spans="1:2" ht="46.5" customHeight="1" x14ac:dyDescent="0.3"/>
    <row r="2" spans="1:2" s="32" customFormat="1" ht="15.6" x14ac:dyDescent="0.3">
      <c r="A2" s="31" t="s">
        <v>6</v>
      </c>
      <c r="B2" s="31"/>
    </row>
    <row r="3" spans="1:2" s="36" customFormat="1" ht="27" customHeight="1" x14ac:dyDescent="0.3">
      <c r="A3" s="54" t="s">
        <v>7</v>
      </c>
      <c r="B3" s="37"/>
    </row>
    <row r="4" spans="1:2" s="33" customFormat="1" ht="25.8" x14ac:dyDescent="0.5">
      <c r="A4" s="34" t="s">
        <v>8</v>
      </c>
    </row>
    <row r="5" spans="1:2" ht="74.099999999999994" customHeight="1" x14ac:dyDescent="0.3">
      <c r="A5" s="35" t="s">
        <v>9</v>
      </c>
    </row>
    <row r="6" spans="1:2" ht="26.25" customHeight="1" x14ac:dyDescent="0.3">
      <c r="A6" s="34" t="s">
        <v>10</v>
      </c>
    </row>
    <row r="7" spans="1:2" s="30" customFormat="1" ht="204.9" customHeight="1" x14ac:dyDescent="0.3">
      <c r="A7" s="39" t="s">
        <v>11</v>
      </c>
    </row>
    <row r="8" spans="1:2" s="33" customFormat="1" ht="25.8" x14ac:dyDescent="0.5">
      <c r="A8" s="34" t="s">
        <v>12</v>
      </c>
    </row>
    <row r="9" spans="1:2" ht="57.6" x14ac:dyDescent="0.3">
      <c r="A9" s="35" t="s">
        <v>13</v>
      </c>
    </row>
    <row r="10" spans="1:2" s="30" customFormat="1" ht="27.9" customHeight="1" x14ac:dyDescent="0.3">
      <c r="A10" s="38" t="s">
        <v>14</v>
      </c>
    </row>
    <row r="11" spans="1:2" s="33" customFormat="1" ht="25.8" x14ac:dyDescent="0.5">
      <c r="A11" s="34" t="s">
        <v>15</v>
      </c>
    </row>
    <row r="12" spans="1:2" ht="28.8" x14ac:dyDescent="0.3">
      <c r="A12" s="35" t="s">
        <v>16</v>
      </c>
    </row>
    <row r="13" spans="1:2" s="30" customFormat="1" ht="27.9" customHeight="1" x14ac:dyDescent="0.3">
      <c r="A13" s="38" t="s">
        <v>17</v>
      </c>
    </row>
    <row r="14" spans="1:2" s="33" customFormat="1" ht="25.8" x14ac:dyDescent="0.5">
      <c r="A14" s="34" t="s">
        <v>18</v>
      </c>
    </row>
    <row r="15" spans="1:2" ht="75" customHeight="1" x14ac:dyDescent="0.3">
      <c r="A15" s="35" t="s">
        <v>19</v>
      </c>
    </row>
    <row r="16" spans="1:2" ht="75.75" customHeight="1" x14ac:dyDescent="0.3">
      <c r="A16" s="35" t="s">
        <v>20</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Werkbladen</vt:lpstr>
      </vt:variant>
      <vt:variant>
        <vt:i4>3</vt:i4>
      </vt:variant>
      <vt:variant>
        <vt:lpstr>Benoemde bereiken</vt:lpstr>
      </vt:variant>
      <vt:variant>
        <vt:i4>8</vt:i4>
      </vt:variant>
    </vt:vector>
  </HeadingPairs>
  <TitlesOfParts>
    <vt:vector size="11" baseType="lpstr">
      <vt:lpstr>ProjectPlanning</vt:lpstr>
      <vt:lpstr>Berekeningen</vt:lpstr>
      <vt:lpstr>Over</vt:lpstr>
      <vt:lpstr>ProjectPlanning!Afdruktitels</vt:lpstr>
      <vt:lpstr>Begin_project</vt:lpstr>
      <vt:lpstr>HOI</vt:lpstr>
      <vt:lpstr>jestinkt</vt:lpstr>
      <vt:lpstr>ProjectPlanning!task_end</vt:lpstr>
      <vt:lpstr>ProjectPlanning!task_progress</vt:lpstr>
      <vt:lpstr>ProjectPlanning!task_start</vt:lpstr>
      <vt:lpstr>Weergegeven_week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2025-11-17T11:09:39Z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